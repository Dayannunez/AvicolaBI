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nb12\Desktop\metodos Proyecto\"/>
    </mc:Choice>
  </mc:AlternateContent>
  <xr:revisionPtr revIDLastSave="0" documentId="13_ncr:1_{1017232F-491F-4B07-951B-22713ACB682C}" xr6:coauthVersionLast="47" xr6:coauthVersionMax="47" xr10:uidLastSave="{00000000-0000-0000-0000-000000000000}"/>
  <bookViews>
    <workbookView xWindow="0" yWindow="360" windowWidth="29040" windowHeight="15720" xr2:uid="{7EDFF177-242A-4549-905C-2A9B2D75A4DE}"/>
  </bookViews>
  <sheets>
    <sheet name="PL" sheetId="2" r:id="rId1"/>
    <sheet name="Inventario" sheetId="4" r:id="rId2"/>
  </sheets>
  <externalReferences>
    <externalReference r:id="rId3"/>
  </externalReferences>
  <definedNames>
    <definedName name="_xlnm.Print_Area" localSheetId="0">PL!$A$3:$J$20</definedName>
    <definedName name="HTML_CodePage">1252</definedName>
    <definedName name="HTML_Control" localSheetId="1" hidden="1">{"'Builds'!$B$72:$D$199"}</definedName>
    <definedName name="HTML_Control" hidden="1">{"'Builds'!$B$72:$D$199"}</definedName>
    <definedName name="HTML_Description">""</definedName>
    <definedName name="HTML_Email">"hweiss@sbm.temple.edu"</definedName>
    <definedName name="HTML_Header">"Builds"</definedName>
    <definedName name="HTML_LastUpdate">"3/14/2000"</definedName>
    <definedName name="HTML_LineAfter">FALSE</definedName>
    <definedName name="HTML_LineBefore">FALSE</definedName>
    <definedName name="HTML_Name">"Howard Weiss"</definedName>
    <definedName name="HTML_OBDlg2">TRUE</definedName>
    <definedName name="HTML_OBDlg4">TRUE</definedName>
    <definedName name="HTML_OS">0</definedName>
    <definedName name="HTML_PathFile">"n:\upgrades.ph.html"</definedName>
    <definedName name="HTML_Title">"Version2"</definedName>
    <definedName name="solver_adj" localSheetId="0">PL!$B$19:$D$19</definedName>
    <definedName name="solver_cvg" localSheetId="0">0.001</definedName>
    <definedName name="solver_drv" localSheetId="0">1</definedName>
    <definedName name="solver_est" localSheetId="0">1</definedName>
    <definedName name="solver_itr" localSheetId="0">100</definedName>
    <definedName name="solver_lhs1" localSheetId="0">PL!$K$13:$K$16</definedName>
    <definedName name="solver_lhs2" localSheetId="0">PL!$M$13:$M$16</definedName>
    <definedName name="solver_lhs3" localSheetId="0">PL!$B$19:$D$19</definedName>
    <definedName name="solver_lin" localSheetId="0">1</definedName>
    <definedName name="solver_neg" localSheetId="0">1</definedName>
    <definedName name="solver_num" localSheetId="0">2</definedName>
    <definedName name="solver_nwt" localSheetId="0">1</definedName>
    <definedName name="solver_opt" localSheetId="0">PL!$H$12</definedName>
    <definedName name="solver_pre" localSheetId="0">0.000001</definedName>
    <definedName name="solver_rel1" localSheetId="0">1</definedName>
    <definedName name="solver_rel2" localSheetId="0">3</definedName>
    <definedName name="solver_rel3" localSheetId="0">3</definedName>
    <definedName name="solver_rhs1" localSheetId="0">PL!$L$13:$L$16</definedName>
    <definedName name="solver_rhs2" localSheetId="0">PL!$N$13:$N$16</definedName>
    <definedName name="solver_rhs3" localSheetId="0">0</definedName>
    <definedName name="solver_scl" localSheetId="0">2</definedName>
    <definedName name="solver_sho" localSheetId="0">2</definedName>
    <definedName name="solver_tim" localSheetId="0">100</definedName>
    <definedName name="solver_tmp" localSheetId="0">0</definedName>
    <definedName name="solver_tol" localSheetId="0">0.05</definedName>
    <definedName name="solver_typ" localSheetId="0">2</definedName>
    <definedName name="solver_val" localSheetId="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13" i="2" l="1"/>
  <c r="B29" i="4"/>
  <c r="B21" i="4"/>
  <c r="B62" i="4" s="1"/>
  <c r="B15" i="4"/>
  <c r="B18" i="4" s="1"/>
  <c r="N16" i="2"/>
  <c r="L16" i="2"/>
  <c r="K16" i="2"/>
  <c r="J16" i="2"/>
  <c r="H16" i="2"/>
  <c r="M16" i="2" s="1"/>
  <c r="G16" i="2"/>
  <c r="N15" i="2"/>
  <c r="L15" i="2"/>
  <c r="K15" i="2"/>
  <c r="J15" i="2"/>
  <c r="H15" i="2"/>
  <c r="M15" i="2" s="1"/>
  <c r="G15" i="2"/>
  <c r="N14" i="2"/>
  <c r="L14" i="2"/>
  <c r="K14" i="2"/>
  <c r="J14" i="2"/>
  <c r="H14" i="2"/>
  <c r="M14" i="2" s="1"/>
  <c r="G14" i="2"/>
  <c r="L13" i="2"/>
  <c r="J13" i="2"/>
  <c r="H13" i="2"/>
  <c r="G13" i="2"/>
  <c r="H12" i="2"/>
  <c r="F20" i="2" s="1"/>
  <c r="I13" i="2" l="1"/>
  <c r="C34" i="4"/>
  <c r="B37" i="4" s="1"/>
  <c r="D37" i="4" s="1"/>
  <c r="B23" i="4"/>
  <c r="B26" i="4" s="1"/>
  <c r="B24" i="4"/>
  <c r="B27" i="4" s="1"/>
  <c r="E34" i="4"/>
  <c r="B63" i="4"/>
  <c r="B22" i="4"/>
  <c r="K13" i="2"/>
  <c r="I15" i="2"/>
  <c r="I14" i="2"/>
  <c r="I16" i="2"/>
  <c r="M13" i="2"/>
  <c r="C37" i="4" l="1"/>
  <c r="E37" i="4" s="1"/>
  <c r="B38" i="4"/>
  <c r="D38" i="4" s="1"/>
  <c r="C63" i="4"/>
  <c r="B30" i="4"/>
  <c r="C38" i="4" l="1"/>
  <c r="E38" i="4" s="1"/>
  <c r="B39" i="4"/>
  <c r="D39" i="4" s="1"/>
  <c r="B40" i="4" l="1"/>
  <c r="D40" i="4" s="1"/>
  <c r="C39" i="4"/>
  <c r="E39" i="4" s="1"/>
  <c r="B41" i="4" l="1"/>
  <c r="B42" i="4" s="1"/>
  <c r="C40" i="4"/>
  <c r="E40" i="4" s="1"/>
  <c r="C41" i="4" l="1"/>
  <c r="D41" i="4"/>
  <c r="B43" i="4"/>
  <c r="D42" i="4"/>
  <c r="C42" i="4"/>
  <c r="E41" i="4" l="1"/>
  <c r="E42" i="4"/>
  <c r="D43" i="4"/>
  <c r="C43" i="4"/>
  <c r="B44" i="4"/>
  <c r="E43" i="4" l="1"/>
  <c r="B45" i="4"/>
  <c r="D44" i="4"/>
  <c r="C44" i="4"/>
  <c r="E44" i="4" s="1"/>
  <c r="B46" i="4" l="1"/>
  <c r="D45" i="4"/>
  <c r="C45" i="4"/>
  <c r="E45" i="4" l="1"/>
  <c r="D46" i="4"/>
  <c r="C46" i="4"/>
  <c r="B47" i="4"/>
  <c r="E46" i="4" l="1"/>
  <c r="B48" i="4"/>
  <c r="D47" i="4"/>
  <c r="C47" i="4"/>
  <c r="E47" i="4" l="1"/>
  <c r="B49" i="4"/>
  <c r="D48" i="4"/>
  <c r="C48" i="4"/>
  <c r="E48" i="4" l="1"/>
  <c r="D49" i="4"/>
  <c r="C49" i="4"/>
  <c r="B50" i="4"/>
  <c r="B51" i="4" l="1"/>
  <c r="D50" i="4"/>
  <c r="C50" i="4"/>
  <c r="E49" i="4"/>
  <c r="E50" i="4" l="1"/>
  <c r="B52" i="4"/>
  <c r="C51" i="4"/>
  <c r="D51" i="4"/>
  <c r="E51" i="4" l="1"/>
  <c r="D52" i="4"/>
  <c r="C52" i="4"/>
  <c r="B53" i="4"/>
  <c r="E52" i="4" l="1"/>
  <c r="B54" i="4"/>
  <c r="D53" i="4"/>
  <c r="C53" i="4"/>
  <c r="E53" i="4" l="1"/>
  <c r="B55" i="4"/>
  <c r="D54" i="4"/>
  <c r="C54" i="4"/>
  <c r="E54" i="4" l="1"/>
  <c r="D55" i="4"/>
  <c r="B56" i="4"/>
  <c r="C55" i="4"/>
  <c r="E55" i="4" l="1"/>
  <c r="B57" i="4"/>
  <c r="C56" i="4"/>
  <c r="D56" i="4"/>
  <c r="E56" i="4" l="1"/>
  <c r="B58" i="4"/>
  <c r="D57" i="4"/>
  <c r="C57" i="4"/>
  <c r="E57" i="4" l="1"/>
  <c r="D58" i="4"/>
  <c r="C58" i="4"/>
  <c r="B59" i="4"/>
  <c r="E58" i="4" l="1"/>
  <c r="B60" i="4"/>
  <c r="D59" i="4"/>
  <c r="C59" i="4"/>
  <c r="E59" i="4" s="1"/>
  <c r="D60" i="4" l="1"/>
  <c r="C60" i="4"/>
  <c r="E6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Dahian Nuñez</author>
  </authors>
  <commentList>
    <comment ref="A1" authorId="0" shapeId="0" xr:uid="{4B6042FB-3257-4C99-A83D-8585E628D632}">
      <text>
        <r>
          <rPr>
            <sz val="9"/>
            <color indexed="81"/>
            <rFont val="Tahoma"/>
            <family val="2"/>
          </rPr>
          <t>Created by Excel OM/QM version 5.3.160</t>
        </r>
      </text>
    </comment>
    <comment ref="A10" authorId="0" shapeId="0" xr:uid="{FC184357-B90B-4E8C-90CA-9C4662A42DC3}">
      <text>
        <r>
          <rPr>
            <sz val="9"/>
            <color indexed="81"/>
            <rFont val="Tahoma"/>
            <family val="2"/>
          </rPr>
          <t>Linear Programming: Submodel =  0; Problem size @  4 by 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Dahian Nuñez</author>
    <author>Howard Weiss</author>
  </authors>
  <commentList>
    <comment ref="A1" authorId="0" shapeId="0" xr:uid="{CCF21185-B30F-4805-86BD-AC6337C42852}">
      <text>
        <r>
          <rPr>
            <sz val="9"/>
            <color indexed="81"/>
            <rFont val="Tahoma"/>
            <family val="2"/>
          </rPr>
          <t>Created by Excel OM/QM version 5.3.160</t>
        </r>
      </text>
    </comment>
    <comment ref="A7" authorId="1" shapeId="0" xr:uid="{99B8E3C6-1CB0-4FFF-BB75-1771F242F5C4}">
      <text>
        <r>
          <rPr>
            <sz val="9"/>
            <color indexed="81"/>
            <rFont val="Tahoma"/>
            <family val="2"/>
          </rPr>
          <t>Inventory: Submodel =  0; Problem size @  4 by 2</t>
        </r>
      </text>
    </comment>
  </commentList>
</comments>
</file>

<file path=xl/sharedStrings.xml><?xml version="1.0" encoding="utf-8"?>
<sst xmlns="http://schemas.openxmlformats.org/spreadsheetml/2006/main" count="64" uniqueCount="58">
  <si>
    <t>Linear Programming</t>
  </si>
  <si>
    <t>Use one of the three signs below for each constraint</t>
  </si>
  <si>
    <t>&lt;</t>
  </si>
  <si>
    <t>less than or equal to</t>
  </si>
  <si>
    <t>=</t>
  </si>
  <si>
    <t>equals (You need to enter an apostrophe first.)</t>
  </si>
  <si>
    <t>&gt;</t>
  </si>
  <si>
    <t>greater than or equal to</t>
  </si>
  <si>
    <t>Data</t>
  </si>
  <si>
    <t>Results</t>
  </si>
  <si>
    <t>Problem setup area</t>
  </si>
  <si>
    <t>LHS</t>
  </si>
  <si>
    <t>Slack/Surplus</t>
  </si>
  <si>
    <t>Minimize</t>
  </si>
  <si>
    <t>sign</t>
  </si>
  <si>
    <t>RHS</t>
  </si>
  <si>
    <t>&lt; constraints</t>
  </si>
  <si>
    <t>&gt; constraints</t>
  </si>
  <si>
    <t>Variables</t>
  </si>
  <si>
    <t>Objective</t>
  </si>
  <si>
    <t>PL</t>
  </si>
  <si>
    <t>Maíz</t>
  </si>
  <si>
    <t>Soya</t>
  </si>
  <si>
    <t>Caliza</t>
  </si>
  <si>
    <t>Masa</t>
  </si>
  <si>
    <t>Proteína</t>
  </si>
  <si>
    <t>Calcio</t>
  </si>
  <si>
    <t>Límite maíz</t>
  </si>
  <si>
    <t>Inventory</t>
  </si>
  <si>
    <t>Economic Order Quantity Model</t>
  </si>
  <si>
    <t>Order Quantity Data</t>
  </si>
  <si>
    <t>Annual Demand Rate, D</t>
  </si>
  <si>
    <t>Setup/Ordering Cost, S</t>
  </si>
  <si>
    <t>Holding/Carrying Cost per Unit per Year, H</t>
  </si>
  <si>
    <t>(fixed amount)</t>
  </si>
  <si>
    <t>Unit price, P</t>
  </si>
  <si>
    <t>Reorder Point Data (optional)</t>
  </si>
  <si>
    <t>Days per year or ...</t>
  </si>
  <si>
    <t>...Daily demand rate, d</t>
  </si>
  <si>
    <t>Lead time in days, L</t>
  </si>
  <si>
    <t>Safety stock, ss</t>
  </si>
  <si>
    <t>Reorder Point, dL+ss</t>
  </si>
  <si>
    <t>Optimum Order Quantity, Q* (EOQ)</t>
  </si>
  <si>
    <t>Maximum Inventory, Q*</t>
  </si>
  <si>
    <t>Average Inventory, Q*/2</t>
  </si>
  <si>
    <t>Number of Orders, D/Q*</t>
  </si>
  <si>
    <t>Annual Holding Cost, HQ*/2</t>
  </si>
  <si>
    <t>Annual Order Cost, DS/Q*</t>
  </si>
  <si>
    <t>Annual Unit Costs, PD</t>
  </si>
  <si>
    <r>
      <t>Total Annual Cost, T</t>
    </r>
    <r>
      <rPr>
        <b/>
        <vertAlign val="subscript"/>
        <sz val="11"/>
        <color indexed="63"/>
        <rFont val="Calibri"/>
        <family val="2"/>
      </rPr>
      <t>c</t>
    </r>
  </si>
  <si>
    <t>Cost Table (Sensitivity)</t>
  </si>
  <si>
    <t>Start graph at</t>
  </si>
  <si>
    <t>Increment by</t>
  </si>
  <si>
    <t>Order Quantity, Q</t>
  </si>
  <si>
    <t>Setup/Order cost</t>
  </si>
  <si>
    <t>Holding cost</t>
  </si>
  <si>
    <t>Total cost</t>
  </si>
  <si>
    <t>Inventario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</si>
</sst>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7" formatCode="&quot;$&quot;#,##0.00;\-&quot;$&quot;#,##0.00"/>
    <numFmt numFmtId="44" formatCode="_-&quot;$&quot;* #,##0.00_-;\-&quot;$&quot;* #,##0.00_-;_-&quot;$&quot;* &quot;-&quot;??_-;_-@_-"/>
  </numFmts>
  <fonts count="18" x14ac:knownFonts="1">
    <font>
      <sz val="11"/>
      <color theme="1"/>
      <name val="Aptos Narrow"/>
      <family val="2"/>
      <scheme val="minor"/>
    </font>
    <font>
      <sz val="10"/>
      <name val="Arial"/>
      <family val="2"/>
    </font>
    <font>
      <sz val="11"/>
      <name val="Calibri"/>
      <family val="2"/>
    </font>
    <font>
      <b/>
      <sz val="11"/>
      <color indexed="20"/>
      <name val="Calibri"/>
      <family val="2"/>
    </font>
    <font>
      <b/>
      <sz val="11"/>
      <color rgb="FFFF0000"/>
      <name val="Calibri"/>
      <family val="2"/>
    </font>
    <font>
      <sz val="13"/>
      <color rgb="FF1F497D"/>
      <name val="Calibri"/>
      <family val="2"/>
    </font>
    <font>
      <sz val="11"/>
      <color rgb="FF0000FF"/>
      <name val="Calibri"/>
      <family val="2"/>
    </font>
    <font>
      <sz val="9"/>
      <color indexed="81"/>
      <name val="Tahoma"/>
      <family val="2"/>
    </font>
    <font>
      <b/>
      <sz val="11"/>
      <color rgb="FFFF6600"/>
      <name val="Calibri"/>
      <family val="2"/>
    </font>
    <font>
      <sz val="11"/>
      <color rgb="FF3F3F3F"/>
      <name val="Calibri"/>
      <family val="2"/>
    </font>
    <font>
      <b/>
      <sz val="11"/>
      <name val="Calibri"/>
      <family val="2"/>
    </font>
    <font>
      <b/>
      <sz val="11"/>
      <color rgb="FF3F3F3F"/>
      <name val="Calibri"/>
      <family val="2"/>
    </font>
    <font>
      <b/>
      <sz val="13"/>
      <color rgb="FF1F497D"/>
      <name val="Calibri"/>
      <family val="2"/>
    </font>
    <font>
      <b/>
      <sz val="14"/>
      <color rgb="FF800000"/>
      <name val="Calibri"/>
      <family val="2"/>
    </font>
    <font>
      <b/>
      <vertAlign val="subscript"/>
      <sz val="11"/>
      <color indexed="63"/>
      <name val="Calibri"/>
      <family val="2"/>
    </font>
    <font>
      <sz val="11"/>
      <color theme="1"/>
      <name val="Calibri"/>
      <family val="2"/>
    </font>
    <font>
      <sz val="13"/>
      <name val="Calibri"/>
      <family val="2"/>
    </font>
    <font>
      <sz val="11"/>
      <color rgb="FF000000"/>
      <name val="Aptos Narrow"/>
      <family val="2"/>
    </font>
  </fonts>
  <fills count="7">
    <fill>
      <patternFill patternType="none"/>
    </fill>
    <fill>
      <patternFill patternType="gray125"/>
    </fill>
    <fill>
      <patternFill patternType="solid">
        <fgColor indexed="45"/>
        <bgColor indexed="64"/>
      </patternFill>
    </fill>
    <fill>
      <patternFill patternType="solid">
        <fgColor indexed="22"/>
        <bgColor indexed="64"/>
      </patternFill>
    </fill>
    <fill>
      <patternFill patternType="solid">
        <fgColor theme="5" tint="0.59999389629810485"/>
        <bgColor indexed="64"/>
      </patternFill>
    </fill>
    <fill>
      <patternFill patternType="solid">
        <fgColor rgb="FFFFCC99"/>
        <bgColor indexed="64"/>
      </patternFill>
    </fill>
    <fill>
      <patternFill patternType="solid">
        <fgColor rgb="FFF2F2F2"/>
        <bgColor indexed="64"/>
      </patternFill>
    </fill>
  </fills>
  <borders count="2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style="thin">
        <color indexed="64"/>
      </bottom>
      <diagonal/>
    </border>
    <border>
      <left style="thin">
        <color indexed="64"/>
      </left>
      <right/>
      <top style="medium">
        <color rgb="FF000000"/>
      </top>
      <bottom style="thin">
        <color indexed="64"/>
      </bottom>
      <diagonal/>
    </border>
    <border>
      <left style="thin">
        <color indexed="64"/>
      </left>
      <right/>
      <top style="medium">
        <color rgb="FF000000"/>
      </top>
      <bottom/>
      <diagonal/>
    </border>
    <border>
      <left style="thin">
        <color indexed="64"/>
      </left>
      <right style="medium">
        <color rgb="FF000000"/>
      </right>
      <top style="medium">
        <color rgb="FF000000"/>
      </top>
      <bottom/>
      <diagonal/>
    </border>
    <border>
      <left style="medium">
        <color rgb="FF000000"/>
      </left>
      <right/>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8"/>
      </left>
      <right/>
      <top/>
      <bottom/>
      <diagonal/>
    </border>
  </borders>
  <cellStyleXfs count="4">
    <xf numFmtId="0" fontId="0" fillId="0" borderId="0"/>
    <xf numFmtId="0" fontId="1" fillId="0" borderId="0"/>
    <xf numFmtId="44"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2" fillId="0" borderId="0" xfId="1" applyFont="1"/>
    <xf numFmtId="0" fontId="2" fillId="2" borderId="0" xfId="1" applyFont="1" applyFill="1"/>
    <xf numFmtId="0" fontId="2" fillId="2" borderId="0" xfId="1" quotePrefix="1" applyFont="1" applyFill="1"/>
    <xf numFmtId="0" fontId="3" fillId="0" borderId="0" xfId="1" applyFont="1"/>
    <xf numFmtId="0" fontId="2" fillId="0" borderId="1" xfId="1" applyFont="1" applyBorder="1"/>
    <xf numFmtId="0" fontId="2" fillId="4" borderId="0" xfId="1" applyFont="1" applyFill="1" applyAlignment="1">
      <alignment horizontal="centerContinuous"/>
    </xf>
    <xf numFmtId="0" fontId="2" fillId="4" borderId="0" xfId="1" applyFont="1" applyFill="1"/>
    <xf numFmtId="0" fontId="4" fillId="0" borderId="0" xfId="1" applyFont="1"/>
    <xf numFmtId="0" fontId="5" fillId="0" borderId="0" xfId="1" applyFont="1"/>
    <xf numFmtId="0" fontId="6" fillId="0" borderId="0" xfId="1" applyFont="1"/>
    <xf numFmtId="0" fontId="8" fillId="0" borderId="0" xfId="1" applyFont="1"/>
    <xf numFmtId="0" fontId="2" fillId="5" borderId="2" xfId="1" applyFont="1" applyFill="1" applyBorder="1"/>
    <xf numFmtId="0" fontId="2" fillId="0" borderId="3" xfId="1" applyFont="1" applyBorder="1"/>
    <xf numFmtId="0" fontId="2" fillId="0" borderId="4" xfId="1" applyFont="1" applyBorder="1"/>
    <xf numFmtId="0" fontId="2" fillId="3" borderId="5" xfId="1" applyFont="1" applyFill="1" applyBorder="1"/>
    <xf numFmtId="0" fontId="2" fillId="3" borderId="6" xfId="1" applyFont="1" applyFill="1" applyBorder="1"/>
    <xf numFmtId="0" fontId="2" fillId="0" borderId="7" xfId="1" applyFont="1" applyBorder="1"/>
    <xf numFmtId="0" fontId="2" fillId="0" borderId="8" xfId="1" applyFont="1" applyBorder="1"/>
    <xf numFmtId="0" fontId="2" fillId="5" borderId="8" xfId="1" applyFont="1" applyFill="1" applyBorder="1"/>
    <xf numFmtId="0" fontId="2" fillId="0" borderId="9" xfId="1" applyFont="1" applyBorder="1"/>
    <xf numFmtId="0" fontId="2" fillId="5" borderId="10" xfId="1" applyFont="1" applyFill="1" applyBorder="1"/>
    <xf numFmtId="0" fontId="2" fillId="5" borderId="11" xfId="1" applyFont="1" applyFill="1" applyBorder="1"/>
    <xf numFmtId="0" fontId="9" fillId="6" borderId="12" xfId="1" applyFont="1" applyFill="1" applyBorder="1"/>
    <xf numFmtId="0" fontId="9" fillId="6" borderId="13" xfId="1" applyFont="1" applyFill="1" applyBorder="1"/>
    <xf numFmtId="0" fontId="9" fillId="6" borderId="15" xfId="1" applyFont="1" applyFill="1" applyBorder="1"/>
    <xf numFmtId="0" fontId="9" fillId="6" borderId="17" xfId="1" applyFont="1" applyFill="1" applyBorder="1"/>
    <xf numFmtId="0" fontId="9" fillId="6" borderId="18" xfId="1" applyFont="1" applyFill="1" applyBorder="1"/>
    <xf numFmtId="0" fontId="9" fillId="6" borderId="19" xfId="1" applyFont="1" applyFill="1" applyBorder="1"/>
    <xf numFmtId="0" fontId="11" fillId="6" borderId="12" xfId="1" applyFont="1" applyFill="1" applyBorder="1"/>
    <xf numFmtId="0" fontId="11" fillId="6" borderId="13" xfId="1" applyFont="1" applyFill="1" applyBorder="1"/>
    <xf numFmtId="0" fontId="11" fillId="6" borderId="14" xfId="1" applyFont="1" applyFill="1" applyBorder="1"/>
    <xf numFmtId="0" fontId="11" fillId="6" borderId="15" xfId="1" applyFont="1" applyFill="1" applyBorder="1"/>
    <xf numFmtId="0" fontId="11" fillId="6" borderId="16" xfId="1" applyFont="1" applyFill="1" applyBorder="1"/>
    <xf numFmtId="0" fontId="11" fillId="6" borderId="17" xfId="1" applyFont="1" applyFill="1" applyBorder="1"/>
    <xf numFmtId="0" fontId="11" fillId="6" borderId="19" xfId="1" applyFont="1" applyFill="1" applyBorder="1"/>
    <xf numFmtId="0" fontId="12" fillId="0" borderId="0" xfId="1" applyFont="1"/>
    <xf numFmtId="0" fontId="13" fillId="0" borderId="0" xfId="1" applyFont="1"/>
    <xf numFmtId="44" fontId="15" fillId="5" borderId="18" xfId="2" applyFont="1" applyFill="1" applyBorder="1"/>
    <xf numFmtId="9" fontId="15" fillId="0" borderId="0" xfId="3" applyFont="1"/>
    <xf numFmtId="1" fontId="11" fillId="6" borderId="19" xfId="2" applyNumberFormat="1" applyFont="1" applyFill="1" applyBorder="1"/>
    <xf numFmtId="0" fontId="11" fillId="0" borderId="0" xfId="1" applyFont="1"/>
    <xf numFmtId="0" fontId="10" fillId="6" borderId="13" xfId="1" applyFont="1" applyFill="1" applyBorder="1"/>
    <xf numFmtId="2" fontId="11" fillId="6" borderId="17" xfId="1" applyNumberFormat="1" applyFont="1" applyFill="1" applyBorder="1"/>
    <xf numFmtId="2" fontId="11" fillId="6" borderId="18" xfId="1" applyNumberFormat="1" applyFont="1" applyFill="1" applyBorder="1"/>
    <xf numFmtId="0" fontId="11" fillId="6" borderId="18" xfId="1" applyFont="1" applyFill="1" applyBorder="1"/>
    <xf numFmtId="7" fontId="11" fillId="6" borderId="18" xfId="1" applyNumberFormat="1" applyFont="1" applyFill="1" applyBorder="1"/>
    <xf numFmtId="7" fontId="11" fillId="6" borderId="19" xfId="1" applyNumberFormat="1" applyFont="1" applyFill="1" applyBorder="1"/>
    <xf numFmtId="0" fontId="2" fillId="0" borderId="20" xfId="1" applyFont="1" applyBorder="1"/>
    <xf numFmtId="0" fontId="2" fillId="5" borderId="17" xfId="1" applyFont="1" applyFill="1" applyBorder="1"/>
    <xf numFmtId="0" fontId="2" fillId="0" borderId="21" xfId="1" applyFont="1" applyBorder="1"/>
    <xf numFmtId="0" fontId="2" fillId="5" borderId="18" xfId="1" applyFont="1" applyFill="1" applyBorder="1"/>
    <xf numFmtId="0" fontId="2" fillId="0" borderId="22" xfId="1" applyFont="1" applyBorder="1"/>
    <xf numFmtId="0" fontId="2" fillId="5" borderId="19" xfId="1" applyFont="1" applyFill="1" applyBorder="1"/>
    <xf numFmtId="0" fontId="2" fillId="0" borderId="23" xfId="1" applyFont="1" applyBorder="1"/>
    <xf numFmtId="0" fontId="10" fillId="0" borderId="0" xfId="1" applyFont="1" applyAlignment="1">
      <alignment horizontal="center"/>
    </xf>
    <xf numFmtId="0" fontId="10" fillId="0" borderId="0" xfId="1" applyFont="1" applyAlignment="1">
      <alignment horizontal="center" wrapText="1"/>
    </xf>
    <xf numFmtId="2" fontId="2" fillId="0" borderId="0" xfId="1" applyNumberFormat="1" applyFont="1"/>
    <xf numFmtId="0" fontId="16" fillId="0" borderId="0" xfId="1" applyFont="1"/>
  </cellXfs>
  <cellStyles count="4">
    <cellStyle name="Moneda 2" xfId="2" xr:uid="{58C11C82-3208-453E-AB58-E9CA9E27514B}"/>
    <cellStyle name="Normal" xfId="0" builtinId="0"/>
    <cellStyle name="Normal 2 2" xfId="1" xr:uid="{BF4273AB-6078-453F-B394-2DD24B077908}"/>
    <cellStyle name="Porcentaje 2" xfId="3" xr:uid="{E9A57011-825C-4B60-9625-1C5FD18C5764}"/>
  </cellStyles>
  <dxfs count="2">
    <dxf>
      <fill>
        <patternFill>
          <bgColor theme="5" tint="0.39994506668294322"/>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Economic Order Quantity Costs</a:t>
            </a:r>
          </a:p>
        </c:rich>
      </c:tx>
      <c:overlay val="0"/>
    </c:title>
    <c:autoTitleDeleted val="0"/>
    <c:plotArea>
      <c:layout/>
      <c:scatterChart>
        <c:scatterStyle val="smoothMarker"/>
        <c:varyColors val="0"/>
        <c:ser>
          <c:idx val="0"/>
          <c:order val="0"/>
          <c:tx>
            <c:strRef>
              <c:f>Inventario!$C$36</c:f>
              <c:strCache>
                <c:ptCount val="1"/>
                <c:pt idx="0">
                  <c:v>Setup/Order cost</c:v>
                </c:pt>
              </c:strCache>
            </c:strRef>
          </c:tx>
          <c:marker>
            <c:symbol val="none"/>
          </c:marker>
          <c:xVal>
            <c:numRef>
              <c:f>Inventario!$B$37:$B$60</c:f>
              <c:numCache>
                <c:formatCode>0.00</c:formatCode>
                <c:ptCount val="24"/>
                <c:pt idx="0">
                  <c:v>742.1362971347678</c:v>
                </c:pt>
                <c:pt idx="1">
                  <c:v>989.51506284635707</c:v>
                </c:pt>
                <c:pt idx="2">
                  <c:v>1236.8938285579463</c:v>
                </c:pt>
                <c:pt idx="3">
                  <c:v>1484.2725942695356</c:v>
                </c:pt>
                <c:pt idx="4">
                  <c:v>1731.6513599811249</c:v>
                </c:pt>
                <c:pt idx="5">
                  <c:v>1979.0301256927141</c:v>
                </c:pt>
                <c:pt idx="6">
                  <c:v>2226.4088914043032</c:v>
                </c:pt>
                <c:pt idx="7">
                  <c:v>2473.7876571158922</c:v>
                </c:pt>
                <c:pt idx="8">
                  <c:v>2721.1664228274813</c:v>
                </c:pt>
                <c:pt idx="9">
                  <c:v>2968.5451885390703</c:v>
                </c:pt>
                <c:pt idx="10">
                  <c:v>3215.9239542506593</c:v>
                </c:pt>
                <c:pt idx="11">
                  <c:v>3463.3027199622484</c:v>
                </c:pt>
                <c:pt idx="12">
                  <c:v>3710.6814856738374</c:v>
                </c:pt>
                <c:pt idx="13">
                  <c:v>3958.0602513854265</c:v>
                </c:pt>
                <c:pt idx="14">
                  <c:v>4205.4390170970155</c:v>
                </c:pt>
                <c:pt idx="15">
                  <c:v>4452.8177828086045</c:v>
                </c:pt>
                <c:pt idx="16">
                  <c:v>4700.1965485201936</c:v>
                </c:pt>
                <c:pt idx="17">
                  <c:v>4947.5753142317826</c:v>
                </c:pt>
                <c:pt idx="18">
                  <c:v>5194.9540799433717</c:v>
                </c:pt>
                <c:pt idx="19">
                  <c:v>5442.3328456549607</c:v>
                </c:pt>
                <c:pt idx="20">
                  <c:v>5689.7116113665497</c:v>
                </c:pt>
                <c:pt idx="21">
                  <c:v>5937.0903770781388</c:v>
                </c:pt>
                <c:pt idx="22">
                  <c:v>6184.4691427897278</c:v>
                </c:pt>
                <c:pt idx="23">
                  <c:v>6431.8479085013169</c:v>
                </c:pt>
              </c:numCache>
            </c:numRef>
          </c:xVal>
          <c:yVal>
            <c:numRef>
              <c:f>Inventario!$C$37:$C$60</c:f>
              <c:numCache>
                <c:formatCode>0.00</c:formatCode>
                <c:ptCount val="24"/>
                <c:pt idx="0">
                  <c:v>278924.50591513107</c:v>
                </c:pt>
                <c:pt idx="1">
                  <c:v>209193.3794363483</c:v>
                </c:pt>
                <c:pt idx="2">
                  <c:v>167354.70354907864</c:v>
                </c:pt>
                <c:pt idx="3">
                  <c:v>139462.25295756554</c:v>
                </c:pt>
                <c:pt idx="4">
                  <c:v>119539.0739636276</c:v>
                </c:pt>
                <c:pt idx="5">
                  <c:v>104596.68971817415</c:v>
                </c:pt>
                <c:pt idx="6">
                  <c:v>92974.8353050437</c:v>
                </c:pt>
                <c:pt idx="7">
                  <c:v>83677.351774539333</c:v>
                </c:pt>
                <c:pt idx="8">
                  <c:v>76070.319795035757</c:v>
                </c:pt>
                <c:pt idx="9">
                  <c:v>69731.126478782782</c:v>
                </c:pt>
                <c:pt idx="10">
                  <c:v>64367.193672722577</c:v>
                </c:pt>
                <c:pt idx="11">
                  <c:v>59769.536981813821</c:v>
                </c:pt>
                <c:pt idx="12">
                  <c:v>55784.901183026232</c:v>
                </c:pt>
                <c:pt idx="13">
                  <c:v>52298.344859087098</c:v>
                </c:pt>
                <c:pt idx="14">
                  <c:v>49221.971632081972</c:v>
                </c:pt>
                <c:pt idx="15">
                  <c:v>46487.417652521865</c:v>
                </c:pt>
                <c:pt idx="16">
                  <c:v>44040.711460283877</c:v>
                </c:pt>
                <c:pt idx="17">
                  <c:v>41838.675887269681</c:v>
                </c:pt>
                <c:pt idx="18">
                  <c:v>39846.35798787589</c:v>
                </c:pt>
                <c:pt idx="19">
                  <c:v>38035.159897517893</c:v>
                </c:pt>
                <c:pt idx="20">
                  <c:v>36381.457293277985</c:v>
                </c:pt>
                <c:pt idx="21">
                  <c:v>34865.563239391406</c:v>
                </c:pt>
                <c:pt idx="22">
                  <c:v>33470.940709815746</c:v>
                </c:pt>
                <c:pt idx="23">
                  <c:v>32183.596836361296</c:v>
                </c:pt>
              </c:numCache>
            </c:numRef>
          </c:yVal>
          <c:smooth val="1"/>
          <c:extLst>
            <c:ext xmlns:c16="http://schemas.microsoft.com/office/drawing/2014/chart" uri="{C3380CC4-5D6E-409C-BE32-E72D297353CC}">
              <c16:uniqueId val="{00000000-520B-4B0C-A923-22FD88D7BDDF}"/>
            </c:ext>
          </c:extLst>
        </c:ser>
        <c:ser>
          <c:idx val="1"/>
          <c:order val="1"/>
          <c:tx>
            <c:strRef>
              <c:f>Inventario!$D$36</c:f>
              <c:strCache>
                <c:ptCount val="1"/>
                <c:pt idx="0">
                  <c:v>Holding cost</c:v>
                </c:pt>
              </c:strCache>
            </c:strRef>
          </c:tx>
          <c:marker>
            <c:symbol val="none"/>
          </c:marker>
          <c:xVal>
            <c:numRef>
              <c:f>Inventario!$B$37:$B$60</c:f>
              <c:numCache>
                <c:formatCode>0.00</c:formatCode>
                <c:ptCount val="24"/>
                <c:pt idx="0">
                  <c:v>742.1362971347678</c:v>
                </c:pt>
                <c:pt idx="1">
                  <c:v>989.51506284635707</c:v>
                </c:pt>
                <c:pt idx="2">
                  <c:v>1236.8938285579463</c:v>
                </c:pt>
                <c:pt idx="3">
                  <c:v>1484.2725942695356</c:v>
                </c:pt>
                <c:pt idx="4">
                  <c:v>1731.6513599811249</c:v>
                </c:pt>
                <c:pt idx="5">
                  <c:v>1979.0301256927141</c:v>
                </c:pt>
                <c:pt idx="6">
                  <c:v>2226.4088914043032</c:v>
                </c:pt>
                <c:pt idx="7">
                  <c:v>2473.7876571158922</c:v>
                </c:pt>
                <c:pt idx="8">
                  <c:v>2721.1664228274813</c:v>
                </c:pt>
                <c:pt idx="9">
                  <c:v>2968.5451885390703</c:v>
                </c:pt>
                <c:pt idx="10">
                  <c:v>3215.9239542506593</c:v>
                </c:pt>
                <c:pt idx="11">
                  <c:v>3463.3027199622484</c:v>
                </c:pt>
                <c:pt idx="12">
                  <c:v>3710.6814856738374</c:v>
                </c:pt>
                <c:pt idx="13">
                  <c:v>3958.0602513854265</c:v>
                </c:pt>
                <c:pt idx="14">
                  <c:v>4205.4390170970155</c:v>
                </c:pt>
                <c:pt idx="15">
                  <c:v>4452.8177828086045</c:v>
                </c:pt>
                <c:pt idx="16">
                  <c:v>4700.1965485201936</c:v>
                </c:pt>
                <c:pt idx="17">
                  <c:v>4947.5753142317826</c:v>
                </c:pt>
                <c:pt idx="18">
                  <c:v>5194.9540799433717</c:v>
                </c:pt>
                <c:pt idx="19">
                  <c:v>5442.3328456549607</c:v>
                </c:pt>
                <c:pt idx="20">
                  <c:v>5689.7116113665497</c:v>
                </c:pt>
                <c:pt idx="21">
                  <c:v>5937.0903770781388</c:v>
                </c:pt>
                <c:pt idx="22">
                  <c:v>6184.4691427897278</c:v>
                </c:pt>
                <c:pt idx="23">
                  <c:v>6431.8479085013169</c:v>
                </c:pt>
              </c:numCache>
            </c:numRef>
          </c:xVal>
          <c:yVal>
            <c:numRef>
              <c:f>Inventario!$D$37:$D$60</c:f>
              <c:numCache>
                <c:formatCode>0.00</c:formatCode>
                <c:ptCount val="24"/>
                <c:pt idx="0">
                  <c:v>17432.781619695696</c:v>
                </c:pt>
                <c:pt idx="1">
                  <c:v>23243.708826260925</c:v>
                </c:pt>
                <c:pt idx="2">
                  <c:v>29054.636032826158</c:v>
                </c:pt>
                <c:pt idx="3">
                  <c:v>34865.563239391391</c:v>
                </c:pt>
                <c:pt idx="4">
                  <c:v>40676.490445956617</c:v>
                </c:pt>
                <c:pt idx="5">
                  <c:v>46487.41765252185</c:v>
                </c:pt>
                <c:pt idx="6">
                  <c:v>52298.344859087076</c:v>
                </c:pt>
                <c:pt idx="7">
                  <c:v>58109.272065652302</c:v>
                </c:pt>
                <c:pt idx="8">
                  <c:v>63920.199272217527</c:v>
                </c:pt>
                <c:pt idx="9">
                  <c:v>69731.126478782753</c:v>
                </c:pt>
                <c:pt idx="10">
                  <c:v>75542.053685347986</c:v>
                </c:pt>
                <c:pt idx="11">
                  <c:v>81352.980891913205</c:v>
                </c:pt>
                <c:pt idx="12">
                  <c:v>87163.908098478438</c:v>
                </c:pt>
                <c:pt idx="13">
                  <c:v>92974.835305043656</c:v>
                </c:pt>
                <c:pt idx="14">
                  <c:v>98785.762511608889</c:v>
                </c:pt>
                <c:pt idx="15">
                  <c:v>104596.68971817411</c:v>
                </c:pt>
                <c:pt idx="16">
                  <c:v>110407.61692473934</c:v>
                </c:pt>
                <c:pt idx="17">
                  <c:v>116218.54413130456</c:v>
                </c:pt>
                <c:pt idx="18">
                  <c:v>122029.47133786979</c:v>
                </c:pt>
                <c:pt idx="19">
                  <c:v>127840.39854443501</c:v>
                </c:pt>
                <c:pt idx="20">
                  <c:v>133651.32575100026</c:v>
                </c:pt>
                <c:pt idx="21">
                  <c:v>139462.25295756548</c:v>
                </c:pt>
                <c:pt idx="22">
                  <c:v>145273.1801641307</c:v>
                </c:pt>
                <c:pt idx="23">
                  <c:v>151084.10737069591</c:v>
                </c:pt>
              </c:numCache>
            </c:numRef>
          </c:yVal>
          <c:smooth val="1"/>
          <c:extLst>
            <c:ext xmlns:c16="http://schemas.microsoft.com/office/drawing/2014/chart" uri="{C3380CC4-5D6E-409C-BE32-E72D297353CC}">
              <c16:uniqueId val="{00000001-520B-4B0C-A923-22FD88D7BDDF}"/>
            </c:ext>
          </c:extLst>
        </c:ser>
        <c:ser>
          <c:idx val="2"/>
          <c:order val="2"/>
          <c:tx>
            <c:strRef>
              <c:f>Inventario!$E$36</c:f>
              <c:strCache>
                <c:ptCount val="1"/>
                <c:pt idx="0">
                  <c:v>Total cost</c:v>
                </c:pt>
              </c:strCache>
            </c:strRef>
          </c:tx>
          <c:marker>
            <c:symbol val="none"/>
          </c:marker>
          <c:xVal>
            <c:numRef>
              <c:f>Inventario!$B$37:$B$60</c:f>
              <c:numCache>
                <c:formatCode>0.00</c:formatCode>
                <c:ptCount val="24"/>
                <c:pt idx="0">
                  <c:v>742.1362971347678</c:v>
                </c:pt>
                <c:pt idx="1">
                  <c:v>989.51506284635707</c:v>
                </c:pt>
                <c:pt idx="2">
                  <c:v>1236.8938285579463</c:v>
                </c:pt>
                <c:pt idx="3">
                  <c:v>1484.2725942695356</c:v>
                </c:pt>
                <c:pt idx="4">
                  <c:v>1731.6513599811249</c:v>
                </c:pt>
                <c:pt idx="5">
                  <c:v>1979.0301256927141</c:v>
                </c:pt>
                <c:pt idx="6">
                  <c:v>2226.4088914043032</c:v>
                </c:pt>
                <c:pt idx="7">
                  <c:v>2473.7876571158922</c:v>
                </c:pt>
                <c:pt idx="8">
                  <c:v>2721.1664228274813</c:v>
                </c:pt>
                <c:pt idx="9">
                  <c:v>2968.5451885390703</c:v>
                </c:pt>
                <c:pt idx="10">
                  <c:v>3215.9239542506593</c:v>
                </c:pt>
                <c:pt idx="11">
                  <c:v>3463.3027199622484</c:v>
                </c:pt>
                <c:pt idx="12">
                  <c:v>3710.6814856738374</c:v>
                </c:pt>
                <c:pt idx="13">
                  <c:v>3958.0602513854265</c:v>
                </c:pt>
                <c:pt idx="14">
                  <c:v>4205.4390170970155</c:v>
                </c:pt>
                <c:pt idx="15">
                  <c:v>4452.8177828086045</c:v>
                </c:pt>
                <c:pt idx="16">
                  <c:v>4700.1965485201936</c:v>
                </c:pt>
                <c:pt idx="17">
                  <c:v>4947.5753142317826</c:v>
                </c:pt>
                <c:pt idx="18">
                  <c:v>5194.9540799433717</c:v>
                </c:pt>
                <c:pt idx="19">
                  <c:v>5442.3328456549607</c:v>
                </c:pt>
                <c:pt idx="20">
                  <c:v>5689.7116113665497</c:v>
                </c:pt>
                <c:pt idx="21">
                  <c:v>5937.0903770781388</c:v>
                </c:pt>
                <c:pt idx="22">
                  <c:v>6184.4691427897278</c:v>
                </c:pt>
                <c:pt idx="23">
                  <c:v>6431.8479085013169</c:v>
                </c:pt>
              </c:numCache>
            </c:numRef>
          </c:xVal>
          <c:yVal>
            <c:numRef>
              <c:f>Inventario!$E$37:$E$60</c:f>
              <c:numCache>
                <c:formatCode>0.00</c:formatCode>
                <c:ptCount val="24"/>
                <c:pt idx="0">
                  <c:v>296357.28753482678</c:v>
                </c:pt>
                <c:pt idx="1">
                  <c:v>232437.08826260924</c:v>
                </c:pt>
                <c:pt idx="2">
                  <c:v>196409.33958190479</c:v>
                </c:pt>
                <c:pt idx="3">
                  <c:v>174327.81619695693</c:v>
                </c:pt>
                <c:pt idx="4">
                  <c:v>160215.56440958421</c:v>
                </c:pt>
                <c:pt idx="5">
                  <c:v>151084.107370696</c:v>
                </c:pt>
                <c:pt idx="6">
                  <c:v>145273.18016413078</c:v>
                </c:pt>
                <c:pt idx="7">
                  <c:v>141786.62384019163</c:v>
                </c:pt>
                <c:pt idx="8">
                  <c:v>139990.51906725328</c:v>
                </c:pt>
                <c:pt idx="9">
                  <c:v>139462.25295756554</c:v>
                </c:pt>
                <c:pt idx="10">
                  <c:v>139909.24735807057</c:v>
                </c:pt>
                <c:pt idx="11">
                  <c:v>141122.51787372702</c:v>
                </c:pt>
                <c:pt idx="12">
                  <c:v>142948.80928150465</c:v>
                </c:pt>
                <c:pt idx="13">
                  <c:v>145273.18016413075</c:v>
                </c:pt>
                <c:pt idx="14">
                  <c:v>148007.73414369085</c:v>
                </c:pt>
                <c:pt idx="15">
                  <c:v>151084.10737069597</c:v>
                </c:pt>
                <c:pt idx="16">
                  <c:v>154448.32838502323</c:v>
                </c:pt>
                <c:pt idx="17">
                  <c:v>158057.22001857424</c:v>
                </c:pt>
                <c:pt idx="18">
                  <c:v>161875.8293257457</c:v>
                </c:pt>
                <c:pt idx="19">
                  <c:v>165875.55844195292</c:v>
                </c:pt>
                <c:pt idx="20">
                  <c:v>170032.78304427824</c:v>
                </c:pt>
                <c:pt idx="21">
                  <c:v>174327.81619695688</c:v>
                </c:pt>
                <c:pt idx="22">
                  <c:v>178744.12087394643</c:v>
                </c:pt>
                <c:pt idx="23">
                  <c:v>183267.70420705722</c:v>
                </c:pt>
              </c:numCache>
            </c:numRef>
          </c:yVal>
          <c:smooth val="1"/>
          <c:extLst>
            <c:ext xmlns:c16="http://schemas.microsoft.com/office/drawing/2014/chart" uri="{C3380CC4-5D6E-409C-BE32-E72D297353CC}">
              <c16:uniqueId val="{00000002-520B-4B0C-A923-22FD88D7BDDF}"/>
            </c:ext>
          </c:extLst>
        </c:ser>
        <c:ser>
          <c:idx val="3"/>
          <c:order val="3"/>
          <c:tx>
            <c:v>EOQ</c:v>
          </c:tx>
          <c:spPr>
            <a:ln>
              <a:prstDash val="sysDot"/>
            </a:ln>
          </c:spPr>
          <c:marker>
            <c:symbol val="none"/>
          </c:marker>
          <c:xVal>
            <c:numRef>
              <c:f>Inventario!$B$62:$B$63</c:f>
              <c:numCache>
                <c:formatCode>0.00</c:formatCode>
                <c:ptCount val="2"/>
                <c:pt idx="0">
                  <c:v>2968.5451885390712</c:v>
                </c:pt>
                <c:pt idx="1">
                  <c:v>2968.5451885390712</c:v>
                </c:pt>
              </c:numCache>
            </c:numRef>
          </c:xVal>
          <c:yVal>
            <c:numRef>
              <c:f>Inventario!$C$62:$C$63</c:f>
              <c:numCache>
                <c:formatCode>0.00</c:formatCode>
                <c:ptCount val="2"/>
                <c:pt idx="0">
                  <c:v>0</c:v>
                </c:pt>
                <c:pt idx="1">
                  <c:v>139462.25295756554</c:v>
                </c:pt>
              </c:numCache>
            </c:numRef>
          </c:yVal>
          <c:smooth val="1"/>
          <c:extLst>
            <c:ext xmlns:c16="http://schemas.microsoft.com/office/drawing/2014/chart" uri="{C3380CC4-5D6E-409C-BE32-E72D297353CC}">
              <c16:uniqueId val="{00000003-520B-4B0C-A923-22FD88D7BDDF}"/>
            </c:ext>
          </c:extLst>
        </c:ser>
        <c:dLbls>
          <c:showLegendKey val="0"/>
          <c:showVal val="0"/>
          <c:showCatName val="0"/>
          <c:showSerName val="0"/>
          <c:showPercent val="0"/>
          <c:showBubbleSize val="0"/>
        </c:dLbls>
        <c:axId val="370829832"/>
        <c:axId val="370837752"/>
      </c:scatterChart>
      <c:valAx>
        <c:axId val="370829832"/>
        <c:scaling>
          <c:orientation val="minMax"/>
        </c:scaling>
        <c:delete val="0"/>
        <c:axPos val="b"/>
        <c:numFmt formatCode="0.00" sourceLinked="1"/>
        <c:majorTickMark val="out"/>
        <c:minorTickMark val="none"/>
        <c:tickLblPos val="nextTo"/>
        <c:crossAx val="370837752"/>
        <c:crosses val="autoZero"/>
        <c:crossBetween val="midCat"/>
      </c:valAx>
      <c:valAx>
        <c:axId val="370837752"/>
        <c:scaling>
          <c:orientation val="minMax"/>
        </c:scaling>
        <c:delete val="0"/>
        <c:axPos val="l"/>
        <c:majorGridlines/>
        <c:numFmt formatCode="0.00" sourceLinked="1"/>
        <c:majorTickMark val="out"/>
        <c:minorTickMark val="none"/>
        <c:tickLblPos val="nextTo"/>
        <c:crossAx val="370829832"/>
        <c:crosses val="autoZero"/>
        <c:crossBetween val="midCat"/>
      </c:valAx>
      <c:spPr>
        <a:gradFill flip="none" rotWithShape="1">
          <a:gsLst>
            <a:gs pos="0">
              <a:srgbClr val="9AB5E4"/>
            </a:gs>
            <a:gs pos="100000">
              <a:srgbClr val="FFFFFF"/>
            </a:gs>
          </a:gsLst>
          <a:lin ang="5400000" scaled="1"/>
          <a:tileRect/>
        </a:gradFill>
      </c:spPr>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495300</xdr:colOff>
      <xdr:row>0</xdr:row>
      <xdr:rowOff>0</xdr:rowOff>
    </xdr:from>
    <xdr:to>
      <xdr:col>9</xdr:col>
      <xdr:colOff>238125</xdr:colOff>
      <xdr:row>3</xdr:row>
      <xdr:rowOff>50800</xdr:rowOff>
    </xdr:to>
    <xdr:sp macro="" textlink="">
      <xdr:nvSpPr>
        <xdr:cNvPr id="2" name="messageTextbox">
          <a:extLst>
            <a:ext uri="{FF2B5EF4-FFF2-40B4-BE49-F238E27FC236}">
              <a16:creationId xmlns:a16="http://schemas.microsoft.com/office/drawing/2014/main" id="{6115CF61-4C3F-C62F-5C46-53787D92ABA9}"/>
            </a:ext>
          </a:extLst>
        </xdr:cNvPr>
        <xdr:cNvSpPr txBox="1"/>
      </xdr:nvSpPr>
      <xdr:spPr>
        <a:xfrm>
          <a:off x="3238500" y="0"/>
          <a:ext cx="3810000" cy="698500"/>
        </a:xfrm>
        <a:prstGeom prst="rect">
          <a:avLst/>
        </a:prstGeom>
        <a:solidFill>
          <a:srgbClr val="FFFFE6"/>
        </a:solidFill>
        <a:ln w="1" cmpd="sng">
          <a:solidFill>
            <a:srgbClr val="000000"/>
          </a:solidFill>
          <a:prstDash val="solid"/>
        </a:ln>
        <a:effectLst>
          <a:outerShdw blurRad="63500" dist="37357" dir="2700000" rotWithShape="0">
            <a:scrgbClr r="0" g="0" b="0"/>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r>
            <a:rPr lang="en-US" sz="900" b="0" i="0" u="none" strike="noStrike" baseline="0">
              <a:solidFill>
                <a:srgbClr val="9C6500"/>
              </a:solidFill>
              <a:latin typeface="Arial" panose="020B0604020202020204" pitchFamily="34" charset="0"/>
            </a:rPr>
            <a:t>Enter the values in the shaded area then use the Run Excel's Solver button. Alternatively, or to view the sensitivity results, open Solver by going to the Data Tab (Excel 2007, 2010, 2013, 2016) or the Tools menu (Excel 2003, 2011).</a:t>
          </a:r>
        </a:p>
      </xdr:txBody>
    </xdr:sp>
    <xdr:clientData fPrintsWithSheet="0"/>
  </xdr:twoCellAnchor>
  <mc:AlternateContent xmlns:mc="http://schemas.openxmlformats.org/markup-compatibility/2006">
    <mc:Choice xmlns:a14="http://schemas.microsoft.com/office/drawing/2010/main" Requires="a14">
      <xdr:twoCellAnchor>
        <xdr:from>
          <xdr:col>0</xdr:col>
          <xdr:colOff>57150</xdr:colOff>
          <xdr:row>1</xdr:row>
          <xdr:rowOff>0</xdr:rowOff>
        </xdr:from>
        <xdr:to>
          <xdr:col>0</xdr:col>
          <xdr:colOff>1457325</xdr:colOff>
          <xdr:row>2</xdr:row>
          <xdr:rowOff>38100</xdr:rowOff>
        </xdr:to>
        <xdr:sp macro="" textlink="">
          <xdr:nvSpPr>
            <xdr:cNvPr id="1027" name="solverButton"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Aptos Narrow"/>
                </a:rPr>
                <a:t>Run Excel's Solver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1524000</xdr:colOff>
          <xdr:row>1</xdr:row>
          <xdr:rowOff>0</xdr:rowOff>
        </xdr:from>
        <xdr:to>
          <xdr:col>2</xdr:col>
          <xdr:colOff>171450</xdr:colOff>
          <xdr:row>2</xdr:row>
          <xdr:rowOff>38100</xdr:rowOff>
        </xdr:to>
        <xdr:sp macro="" textlink="">
          <xdr:nvSpPr>
            <xdr:cNvPr id="1028" name="solverHelpButton"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Aptos Narrow"/>
                </a:rPr>
                <a:t>Solver Help</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3</xdr:row>
      <xdr:rowOff>0</xdr:rowOff>
    </xdr:from>
    <xdr:to>
      <xdr:col>1</xdr:col>
      <xdr:colOff>222250</xdr:colOff>
      <xdr:row>4</xdr:row>
      <xdr:rowOff>12700</xdr:rowOff>
    </xdr:to>
    <xdr:sp macro="" textlink="">
      <xdr:nvSpPr>
        <xdr:cNvPr id="2" name="messageTextbox">
          <a:extLst>
            <a:ext uri="{FF2B5EF4-FFF2-40B4-BE49-F238E27FC236}">
              <a16:creationId xmlns:a16="http://schemas.microsoft.com/office/drawing/2014/main" id="{D93F31AA-B8F0-49D8-81E1-C99227EF75B6}"/>
            </a:ext>
          </a:extLst>
        </xdr:cNvPr>
        <xdr:cNvSpPr txBox="1"/>
      </xdr:nvSpPr>
      <xdr:spPr>
        <a:xfrm>
          <a:off x="254000" y="647700"/>
          <a:ext cx="2540000" cy="203200"/>
        </a:xfrm>
        <a:prstGeom prst="rect">
          <a:avLst/>
        </a:prstGeom>
        <a:solidFill>
          <a:srgbClr val="FFEB9C"/>
        </a:solidFill>
        <a:ln w="1" cmpd="sng">
          <a:solidFill>
            <a:schemeClr val="lt1">
              <a:shade val="50000"/>
            </a:schemeClr>
          </a:solidFill>
          <a:prstDash val="solid"/>
        </a:ln>
        <a:effectLst>
          <a:outerShdw blurRad="63500" dist="37357" dir="2700000" rotWithShape="0">
            <a:scrgbClr r="0" g="0" b="0"/>
          </a:outerShdw>
        </a:effectLst>
      </xdr:spPr>
      <xdr:style>
        <a:lnRef idx="0">
          <a:scrgbClr r="0" g="0" b="0"/>
        </a:lnRef>
        <a:fillRef idx="0">
          <a:scrgbClr r="0" g="0" b="0"/>
        </a:fillRef>
        <a:effectRef idx="0">
          <a:scrgbClr r="0" g="0" b="0"/>
        </a:effectRef>
        <a:fontRef idx="minor">
          <a:schemeClr val="dk1"/>
        </a:fontRef>
      </xdr:style>
      <xdr:txBody>
        <a:bodyPr vertOverflow="clip" vert="horz" rtlCol="0" anchor="ctr"/>
        <a:lstStyle/>
        <a:p>
          <a:r>
            <a:rPr lang="en-US" sz="900" b="0" i="0" u="none" strike="noStrike" baseline="0">
              <a:solidFill>
                <a:srgbClr val="9C6500"/>
              </a:solidFill>
              <a:effectLst/>
              <a:latin typeface="Arial"/>
            </a:rPr>
            <a:t>Enter the data in the shaded area.</a:t>
          </a:r>
        </a:p>
      </xdr:txBody>
    </xdr:sp>
    <xdr:clientData fPrintsWithSheet="0"/>
  </xdr:twoCellAnchor>
  <xdr:twoCellAnchor>
    <xdr:from>
      <xdr:col>3</xdr:col>
      <xdr:colOff>0</xdr:colOff>
      <xdr:row>11</xdr:row>
      <xdr:rowOff>0</xdr:rowOff>
    </xdr:from>
    <xdr:to>
      <xdr:col>11</xdr:col>
      <xdr:colOff>63500</xdr:colOff>
      <xdr:row>30</xdr:row>
      <xdr:rowOff>34925</xdr:rowOff>
    </xdr:to>
    <xdr:graphicFrame macro="">
      <xdr:nvGraphicFramePr>
        <xdr:cNvPr id="3" name="Gráfico 2">
          <a:extLst>
            <a:ext uri="{FF2B5EF4-FFF2-40B4-BE49-F238E27FC236}">
              <a16:creationId xmlns:a16="http://schemas.microsoft.com/office/drawing/2014/main" id="{0CB5BE23-408E-7875-8D82-E164F375D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254000</xdr:colOff>
      <xdr:row>3</xdr:row>
      <xdr:rowOff>24765</xdr:rowOff>
    </xdr:from>
    <xdr:to>
      <xdr:col>4</xdr:col>
      <xdr:colOff>463550</xdr:colOff>
      <xdr:row>4</xdr:row>
      <xdr:rowOff>62865</xdr:rowOff>
    </xdr:to>
    <xdr:sp macro="" textlink="">
      <xdr:nvSpPr>
        <xdr:cNvPr id="4" name="messageTextbox">
          <a:extLst>
            <a:ext uri="{FF2B5EF4-FFF2-40B4-BE49-F238E27FC236}">
              <a16:creationId xmlns:a16="http://schemas.microsoft.com/office/drawing/2014/main" id="{72ABDADD-F659-70A7-70A4-9A76B96FD236}"/>
            </a:ext>
          </a:extLst>
        </xdr:cNvPr>
        <xdr:cNvSpPr txBox="1"/>
      </xdr:nvSpPr>
      <xdr:spPr>
        <a:xfrm>
          <a:off x="254000" y="272415"/>
          <a:ext cx="5334000" cy="228600"/>
        </a:xfrm>
        <a:prstGeom prst="rect">
          <a:avLst/>
        </a:prstGeom>
        <a:solidFill>
          <a:srgbClr val="FFFFE6"/>
        </a:solidFill>
        <a:ln w="1" cmpd="sng">
          <a:solidFill>
            <a:srgbClr val="000000"/>
          </a:solidFill>
          <a:prstDash val="solid"/>
        </a:ln>
        <a:effectLst>
          <a:outerShdw blurRad="63500" dist="37357" dir="2700000" rotWithShape="0">
            <a:scrgbClr r="0" g="0" b="0"/>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900" b="0" i="0" u="none" strike="noStrike" baseline="0">
              <a:solidFill>
                <a:srgbClr val="9C6500"/>
              </a:solidFill>
              <a:latin typeface="Arial" panose="020B0604020202020204" pitchFamily="34" charset="0"/>
            </a:rPr>
            <a:t>Enter the data in the shaded area.</a:t>
          </a:r>
        </a:p>
      </xdr:txBody>
    </xdr:sp>
    <xdr:clientData fPrintsWithSheet="0"/>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rogram%20Files%20(x86)/Excel%20QM%20v5.3/excelOMQMv5.xlam" TargetMode="External"/><Relationship Id="rId2" Type="http://schemas.openxmlformats.org/officeDocument/2006/relationships/externalLinkPath" Target="file:///C:\Program%20Files%20(x86)\Excel%20QM%20v5.3\excelOMQMv5.xlam" TargetMode="External"/><Relationship Id="rId1" Type="http://schemas.openxmlformats.org/officeDocument/2006/relationships/externalLinkPath" Target="/Program%20Files%20(x86)/Excel%20QM%20v5.3/excelOMQMv5.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WShortPath"/>
      <sheetName val="HWMaxFlow"/>
      <sheetName val="V3-V4-V5 History"/>
      <sheetName val="ProjCrash"/>
      <sheetName val="Kanban"/>
      <sheetName val="Installation-wise, MSI,zip"/>
      <sheetName val="v5.2"/>
      <sheetName val="Mac"/>
      <sheetName val="Paste"/>
      <sheetName val="OnLive"/>
      <sheetName val="MenuSheetv5"/>
      <sheetName val="MenuHR9"/>
      <sheetName val="MenuListBox"/>
      <sheetName val="MenuFoster5"/>
      <sheetName val="MenuRSH10"/>
      <sheetName val="MenuRSH11"/>
      <sheetName val="MenuRSH12"/>
      <sheetName val="MenuTaylor10"/>
      <sheetName val="EOQ"/>
      <sheetName val="POQ"/>
      <sheetName val="multiBE"/>
      <sheetName val="ProbDist"/>
      <sheetName val="InvSSNorm"/>
      <sheetName val="WorkMeas"/>
      <sheetName val="Simulation"/>
      <sheetName val="Raw data"/>
      <sheetName val="Frequencies"/>
      <sheetName val="Prob dist"/>
      <sheetName val="Normal"/>
      <sheetName val="Reliability"/>
      <sheetName val="MRPData"/>
      <sheetName val="HJW"/>
      <sheetName val="sqc-1"/>
      <sheetName val="SQC"/>
      <sheetName val="LimitedPop"/>
      <sheetName val="Markov"/>
      <sheetName val="Trans_agg"/>
      <sheetName val="LP_max"/>
      <sheetName val="LP_min"/>
      <sheetName val="IP_max"/>
      <sheetName val="IP_min"/>
      <sheetName val="HWPert"/>
      <sheetName val="Trans_max"/>
      <sheetName val="Trans_min"/>
      <sheetName val="Assign_min"/>
      <sheetName val="Assign_max"/>
      <sheetName val="Game Theory"/>
    </sheetNames>
    <definedNames>
      <definedName name="CallSolver"/>
      <definedName name="SolverHelp"/>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F5412-DB2F-43C8-AC00-53AA35E0E0FE}">
  <sheetPr codeName="Sheet9"/>
  <dimension ref="A1:N20"/>
  <sheetViews>
    <sheetView tabSelected="1" workbookViewId="0">
      <selection activeCell="A2" sqref="A2"/>
    </sheetView>
  </sheetViews>
  <sheetFormatPr baseColWidth="10" defaultColWidth="8.7109375" defaultRowHeight="15" x14ac:dyDescent="0.25"/>
  <cols>
    <col min="1" max="1" width="32.42578125" style="1" customWidth="1"/>
    <col min="2" max="6" width="8.7109375" style="1"/>
    <col min="7" max="7" width="8.7109375" style="1" customWidth="1"/>
    <col min="8" max="8" width="8.7109375" style="1"/>
    <col min="9" max="10" width="8.7109375" style="1" customWidth="1"/>
    <col min="11" max="16384" width="8.7109375" style="1"/>
  </cols>
  <sheetData>
    <row r="1" spans="1:14" ht="18.75" x14ac:dyDescent="0.3">
      <c r="A1" s="37" t="s">
        <v>20</v>
      </c>
    </row>
    <row r="3" spans="1:14" ht="17.25" x14ac:dyDescent="0.3">
      <c r="A3" s="36" t="s">
        <v>0</v>
      </c>
      <c r="B3" s="9"/>
      <c r="C3" s="9"/>
      <c r="D3" s="9"/>
      <c r="E3" s="9"/>
      <c r="F3" s="9"/>
      <c r="G3" s="9"/>
      <c r="H3" s="9"/>
      <c r="I3" s="9"/>
    </row>
    <row r="4" spans="1:14" x14ac:dyDescent="0.25">
      <c r="A4" s="10"/>
      <c r="B4" s="10"/>
      <c r="C4" s="10"/>
    </row>
    <row r="5" spans="1:14" x14ac:dyDescent="0.25">
      <c r="B5" s="1" t="s">
        <v>1</v>
      </c>
    </row>
    <row r="6" spans="1:14" x14ac:dyDescent="0.25">
      <c r="B6" s="2" t="s">
        <v>2</v>
      </c>
      <c r="C6" s="2"/>
      <c r="D6" s="1" t="s">
        <v>3</v>
      </c>
    </row>
    <row r="7" spans="1:14" x14ac:dyDescent="0.25">
      <c r="B7" s="3" t="s">
        <v>4</v>
      </c>
      <c r="C7" s="3"/>
      <c r="D7" s="1" t="s">
        <v>5</v>
      </c>
    </row>
    <row r="8" spans="1:14" x14ac:dyDescent="0.25">
      <c r="B8" s="2" t="s">
        <v>6</v>
      </c>
      <c r="C8" s="2"/>
      <c r="D8" s="1" t="s">
        <v>7</v>
      </c>
    </row>
    <row r="10" spans="1:14" ht="15.75" thickBot="1" x14ac:dyDescent="0.3">
      <c r="A10" s="11" t="s">
        <v>8</v>
      </c>
      <c r="H10" s="4" t="s">
        <v>9</v>
      </c>
      <c r="K10" s="1" t="s">
        <v>10</v>
      </c>
    </row>
    <row r="11" spans="1:14" x14ac:dyDescent="0.25">
      <c r="A11" s="13"/>
      <c r="B11" s="14" t="s">
        <v>21</v>
      </c>
      <c r="C11" s="14" t="s">
        <v>22</v>
      </c>
      <c r="D11" s="14" t="s">
        <v>23</v>
      </c>
      <c r="E11" s="15"/>
      <c r="F11" s="16"/>
      <c r="H11" s="24" t="s">
        <v>11</v>
      </c>
      <c r="I11" s="26" t="s">
        <v>12</v>
      </c>
    </row>
    <row r="12" spans="1:14" x14ac:dyDescent="0.25">
      <c r="A12" s="17" t="s">
        <v>13</v>
      </c>
      <c r="B12" s="12">
        <v>310</v>
      </c>
      <c r="C12" s="12">
        <v>450</v>
      </c>
      <c r="D12" s="12">
        <v>120</v>
      </c>
      <c r="E12" s="5" t="s">
        <v>14</v>
      </c>
      <c r="F12" s="18" t="s">
        <v>15</v>
      </c>
      <c r="H12" s="23">
        <f>SUMPRODUCT(B12:D12,$B$19:$D$19)</f>
        <v>1296596.25</v>
      </c>
      <c r="I12" s="27"/>
      <c r="K12" s="6" t="s">
        <v>16</v>
      </c>
      <c r="L12" s="6"/>
      <c r="M12" s="7" t="s">
        <v>17</v>
      </c>
      <c r="N12" s="7"/>
    </row>
    <row r="13" spans="1:14" x14ac:dyDescent="0.25">
      <c r="A13" s="17" t="s">
        <v>24</v>
      </c>
      <c r="B13" s="12">
        <v>1</v>
      </c>
      <c r="C13" s="12">
        <v>1</v>
      </c>
      <c r="D13" s="12">
        <v>1</v>
      </c>
      <c r="E13" s="12" t="s">
        <v>4</v>
      </c>
      <c r="F13" s="19">
        <v>4140</v>
      </c>
      <c r="G13" s="8" t="str">
        <f>IF(AND(E13&lt;&gt;$B$6,E13&lt;&gt;$B$8,E13&lt;&gt;$B$7),"Bad constraint sign","")</f>
        <v/>
      </c>
      <c r="H13" s="23">
        <f>SUMPRODUCT(B13:D13,$B$19:$D$19)</f>
        <v>4140</v>
      </c>
      <c r="I13" s="27">
        <f>F13-H13</f>
        <v>0</v>
      </c>
      <c r="J13" s="1" t="str">
        <f>A13</f>
        <v>Masa</v>
      </c>
      <c r="K13" s="7">
        <f>IF($E13&lt;&gt;$B$8,H13,0)</f>
        <v>4140</v>
      </c>
      <c r="L13" s="7">
        <f>IF($E13&lt;&gt;$B$8,F13,0)</f>
        <v>4140</v>
      </c>
      <c r="M13" s="7">
        <f>IF($E13&lt;&gt;$B$6,H13,0)</f>
        <v>4140</v>
      </c>
      <c r="N13" s="7">
        <f>IF($E13&lt;&gt;$B$6,F13,0)</f>
        <v>4140</v>
      </c>
    </row>
    <row r="14" spans="1:14" x14ac:dyDescent="0.25">
      <c r="A14" s="17" t="s">
        <v>25</v>
      </c>
      <c r="B14" s="12">
        <v>8.5000000000000006E-2</v>
      </c>
      <c r="C14" s="12">
        <v>0.44</v>
      </c>
      <c r="D14" s="12">
        <v>0</v>
      </c>
      <c r="E14" s="12" t="s">
        <v>6</v>
      </c>
      <c r="F14" s="19">
        <v>683.1</v>
      </c>
      <c r="G14" s="8" t="str">
        <f t="shared" ref="G14:G16" si="0">IF(AND(E14&lt;&gt;$B$6,E14&lt;&gt;$B$8,E14&lt;&gt;$B$7),"Bad constraint sign","")</f>
        <v/>
      </c>
      <c r="H14" s="23">
        <f t="shared" ref="H14:H16" si="1">SUMPRODUCT(B14:D14,$B$19:$D$19)</f>
        <v>683.10000000000014</v>
      </c>
      <c r="I14" s="27">
        <f t="shared" ref="I14:I16" si="2">F14-H14</f>
        <v>0</v>
      </c>
      <c r="J14" s="1" t="str">
        <f t="shared" ref="J14:J16" si="3">A14</f>
        <v>Proteína</v>
      </c>
      <c r="K14" s="7">
        <f t="shared" ref="K14:K16" si="4">IF($E14&lt;&gt;$B$8,H14,0)</f>
        <v>0</v>
      </c>
      <c r="L14" s="7">
        <f t="shared" ref="L14:L16" si="5">IF($E14&lt;&gt;$B$8,F14,0)</f>
        <v>0</v>
      </c>
      <c r="M14" s="7">
        <f t="shared" ref="M14:M16" si="6">IF($E14&lt;&gt;$B$6,H14,0)</f>
        <v>683.10000000000014</v>
      </c>
      <c r="N14" s="7">
        <f t="shared" ref="N14:N16" si="7">IF($E14&lt;&gt;$B$6,F14,0)</f>
        <v>683.1</v>
      </c>
    </row>
    <row r="15" spans="1:14" x14ac:dyDescent="0.25">
      <c r="A15" s="17" t="s">
        <v>26</v>
      </c>
      <c r="B15" s="12">
        <v>2.0000000000000001E-4</v>
      </c>
      <c r="C15" s="12">
        <v>2.5000000000000001E-3</v>
      </c>
      <c r="D15" s="12">
        <v>0.38</v>
      </c>
      <c r="E15" s="12" t="s">
        <v>6</v>
      </c>
      <c r="F15" s="19">
        <v>155.25</v>
      </c>
      <c r="G15" s="8" t="str">
        <f t="shared" si="0"/>
        <v/>
      </c>
      <c r="H15" s="23">
        <f t="shared" si="1"/>
        <v>288.37946249999993</v>
      </c>
      <c r="I15" s="27">
        <f t="shared" si="2"/>
        <v>-133.12946249999993</v>
      </c>
      <c r="J15" s="1" t="str">
        <f t="shared" si="3"/>
        <v>Calcio</v>
      </c>
      <c r="K15" s="7">
        <f t="shared" si="4"/>
        <v>0</v>
      </c>
      <c r="L15" s="7">
        <f t="shared" si="5"/>
        <v>0</v>
      </c>
      <c r="M15" s="7">
        <f t="shared" si="6"/>
        <v>288.37946249999993</v>
      </c>
      <c r="N15" s="7">
        <f t="shared" si="7"/>
        <v>155.25</v>
      </c>
    </row>
    <row r="16" spans="1:14" ht="15.75" thickBot="1" x14ac:dyDescent="0.3">
      <c r="A16" s="20" t="s">
        <v>27</v>
      </c>
      <c r="B16" s="21">
        <v>1</v>
      </c>
      <c r="C16" s="21">
        <v>0</v>
      </c>
      <c r="D16" s="21">
        <v>0</v>
      </c>
      <c r="E16" s="21" t="s">
        <v>6</v>
      </c>
      <c r="F16" s="22">
        <v>2277</v>
      </c>
      <c r="G16" s="8" t="str">
        <f t="shared" si="0"/>
        <v/>
      </c>
      <c r="H16" s="25">
        <f t="shared" si="1"/>
        <v>2277</v>
      </c>
      <c r="I16" s="28">
        <f t="shared" si="2"/>
        <v>0</v>
      </c>
      <c r="J16" s="1" t="str">
        <f t="shared" si="3"/>
        <v>Límite maíz</v>
      </c>
      <c r="K16" s="7">
        <f t="shared" si="4"/>
        <v>0</v>
      </c>
      <c r="L16" s="7">
        <f t="shared" si="5"/>
        <v>0</v>
      </c>
      <c r="M16" s="7">
        <f t="shared" si="6"/>
        <v>2277</v>
      </c>
      <c r="N16" s="7">
        <f t="shared" si="7"/>
        <v>2277</v>
      </c>
    </row>
    <row r="18" spans="1:6" ht="15.75" thickBot="1" x14ac:dyDescent="0.3">
      <c r="A18" s="4" t="s">
        <v>9</v>
      </c>
    </row>
    <row r="19" spans="1:6" x14ac:dyDescent="0.25">
      <c r="A19" s="30" t="s">
        <v>18</v>
      </c>
      <c r="B19" s="31">
        <v>2277</v>
      </c>
      <c r="C19" s="31">
        <v>1112.6250000000002</v>
      </c>
      <c r="D19" s="31">
        <v>750.37499999999977</v>
      </c>
      <c r="E19" s="31"/>
      <c r="F19" s="34"/>
    </row>
    <row r="20" spans="1:6" ht="15.75" thickBot="1" x14ac:dyDescent="0.3">
      <c r="A20" s="32" t="s">
        <v>19</v>
      </c>
      <c r="B20" s="33"/>
      <c r="C20" s="33"/>
      <c r="D20" s="33"/>
      <c r="E20" s="33"/>
      <c r="F20" s="35">
        <f>H12</f>
        <v>1296596.25</v>
      </c>
    </row>
  </sheetData>
  <printOptions gridLines="1" gridLinesSet="0"/>
  <pageMargins left="0.75" right="0.75" top="1" bottom="1" header="0.5" footer="0.5"/>
  <pageSetup orientation="landscape" horizontalDpi="4294967292" verticalDpi="360" r:id="rId1"/>
  <headerFooter alignWithMargins="0">
    <oddHeader>&amp;A</oddHeader>
    <oddFooter>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27" r:id="rId4" name="solverButton">
              <controlPr defaultSize="0" print="0" autoFill="0" autoPict="0" macro="[1]!CallSolver">
                <anchor moveWithCells="1" sizeWithCells="1">
                  <from>
                    <xdr:col>0</xdr:col>
                    <xdr:colOff>57150</xdr:colOff>
                    <xdr:row>1</xdr:row>
                    <xdr:rowOff>0</xdr:rowOff>
                  </from>
                  <to>
                    <xdr:col>0</xdr:col>
                    <xdr:colOff>1457325</xdr:colOff>
                    <xdr:row>2</xdr:row>
                    <xdr:rowOff>38100</xdr:rowOff>
                  </to>
                </anchor>
              </controlPr>
            </control>
          </mc:Choice>
        </mc:AlternateContent>
        <mc:AlternateContent xmlns:mc="http://schemas.openxmlformats.org/markup-compatibility/2006">
          <mc:Choice Requires="x14">
            <control shapeId="1028" r:id="rId5" name="solverHelpButton">
              <controlPr defaultSize="0" print="0" autoFill="0" autoPict="0" macro="[1]!SolverHelp">
                <anchor moveWithCells="1" sizeWithCells="1">
                  <from>
                    <xdr:col>0</xdr:col>
                    <xdr:colOff>1524000</xdr:colOff>
                    <xdr:row>1</xdr:row>
                    <xdr:rowOff>0</xdr:rowOff>
                  </from>
                  <to>
                    <xdr:col>2</xdr:col>
                    <xdr:colOff>171450</xdr:colOff>
                    <xdr:row>2</xdr:row>
                    <xdr:rowOff>38100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497E0-7827-41D2-ABA5-F953222D5D88}">
  <sheetPr codeName="Sheet44"/>
  <dimension ref="A1:H63"/>
  <sheetViews>
    <sheetView workbookViewId="0">
      <selection activeCell="B18" sqref="B18"/>
    </sheetView>
  </sheetViews>
  <sheetFormatPr baseColWidth="10" defaultColWidth="9.140625" defaultRowHeight="15" x14ac:dyDescent="0.25"/>
  <cols>
    <col min="1" max="1" width="38.5703125" style="1" bestFit="1" customWidth="1"/>
    <col min="2" max="2" width="17.7109375" style="1" customWidth="1"/>
    <col min="3" max="3" width="13.140625" style="1" customWidth="1"/>
    <col min="4" max="16384" width="9.140625" style="1"/>
  </cols>
  <sheetData>
    <row r="1" spans="1:8" ht="18.75" x14ac:dyDescent="0.3">
      <c r="A1" s="37" t="s">
        <v>57</v>
      </c>
    </row>
    <row r="3" spans="1:8" ht="17.25" x14ac:dyDescent="0.3">
      <c r="A3" s="36" t="s">
        <v>28</v>
      </c>
      <c r="B3" s="36" t="s">
        <v>29</v>
      </c>
      <c r="C3" s="36"/>
      <c r="D3" s="36"/>
      <c r="E3" s="36"/>
      <c r="F3" s="36"/>
      <c r="G3" s="36"/>
      <c r="H3" s="58"/>
    </row>
    <row r="4" spans="1:8" x14ac:dyDescent="0.25">
      <c r="A4" s="10"/>
      <c r="B4" s="10"/>
    </row>
    <row r="7" spans="1:8" ht="15.75" thickBot="1" x14ac:dyDescent="0.3">
      <c r="A7" s="11" t="s">
        <v>30</v>
      </c>
    </row>
    <row r="8" spans="1:8" x14ac:dyDescent="0.25">
      <c r="A8" s="48" t="s">
        <v>31</v>
      </c>
      <c r="B8" s="49">
        <v>8280</v>
      </c>
    </row>
    <row r="9" spans="1:8" x14ac:dyDescent="0.25">
      <c r="A9" s="50" t="s">
        <v>32</v>
      </c>
      <c r="B9" s="51">
        <v>25000</v>
      </c>
    </row>
    <row r="10" spans="1:8" x14ac:dyDescent="0.25">
      <c r="A10" s="50" t="s">
        <v>33</v>
      </c>
      <c r="B10" s="38">
        <v>46.98</v>
      </c>
      <c r="C10" s="39" t="s">
        <v>34</v>
      </c>
    </row>
    <row r="11" spans="1:8" ht="15.75" thickBot="1" x14ac:dyDescent="0.3">
      <c r="A11" s="52" t="s">
        <v>35</v>
      </c>
      <c r="B11" s="53">
        <v>313.19</v>
      </c>
    </row>
    <row r="12" spans="1:8" x14ac:dyDescent="0.25">
      <c r="A12" s="54"/>
    </row>
    <row r="13" spans="1:8" ht="15.75" thickBot="1" x14ac:dyDescent="0.3">
      <c r="A13" s="11" t="s">
        <v>36</v>
      </c>
    </row>
    <row r="14" spans="1:8" x14ac:dyDescent="0.25">
      <c r="A14" s="48" t="s">
        <v>37</v>
      </c>
      <c r="B14" s="49">
        <v>250</v>
      </c>
    </row>
    <row r="15" spans="1:8" x14ac:dyDescent="0.25">
      <c r="A15" s="50" t="s">
        <v>38</v>
      </c>
      <c r="B15" s="51">
        <f>IF(B14&gt;0,B8/B14,"")</f>
        <v>33.119999999999997</v>
      </c>
    </row>
    <row r="16" spans="1:8" x14ac:dyDescent="0.25">
      <c r="A16" s="50" t="s">
        <v>39</v>
      </c>
      <c r="B16" s="51">
        <v>3</v>
      </c>
    </row>
    <row r="17" spans="1:2" ht="15.75" thickBot="1" x14ac:dyDescent="0.3">
      <c r="A17" s="52" t="s">
        <v>40</v>
      </c>
      <c r="B17" s="53">
        <v>33</v>
      </c>
    </row>
    <row r="18" spans="1:2" ht="15.75" thickBot="1" x14ac:dyDescent="0.3">
      <c r="A18" s="32" t="s">
        <v>41</v>
      </c>
      <c r="B18" s="40">
        <f>B15*B16+B17</f>
        <v>132.35999999999999</v>
      </c>
    </row>
    <row r="19" spans="1:2" x14ac:dyDescent="0.25">
      <c r="A19" s="41"/>
      <c r="B19" s="8"/>
    </row>
    <row r="20" spans="1:2" ht="15.75" thickBot="1" x14ac:dyDescent="0.3">
      <c r="A20" s="41" t="s">
        <v>9</v>
      </c>
    </row>
    <row r="21" spans="1:2" x14ac:dyDescent="0.25">
      <c r="A21" s="42" t="s">
        <v>42</v>
      </c>
      <c r="B21" s="43">
        <f>SQRT(2*B8*B9/B10)</f>
        <v>2968.5451885390712</v>
      </c>
    </row>
    <row r="22" spans="1:2" x14ac:dyDescent="0.25">
      <c r="A22" s="29" t="s">
        <v>43</v>
      </c>
      <c r="B22" s="44">
        <f>B21 + B17</f>
        <v>3001.5451885390712</v>
      </c>
    </row>
    <row r="23" spans="1:2" x14ac:dyDescent="0.25">
      <c r="A23" s="29" t="s">
        <v>44</v>
      </c>
      <c r="B23" s="44">
        <f>B21/2</f>
        <v>1484.2725942695356</v>
      </c>
    </row>
    <row r="24" spans="1:2" x14ac:dyDescent="0.25">
      <c r="A24" s="29" t="s">
        <v>45</v>
      </c>
      <c r="B24" s="44">
        <f>B8/B21</f>
        <v>2.7892450591513107</v>
      </c>
    </row>
    <row r="25" spans="1:2" x14ac:dyDescent="0.25">
      <c r="A25" s="29"/>
      <c r="B25" s="45"/>
    </row>
    <row r="26" spans="1:2" x14ac:dyDescent="0.25">
      <c r="A26" s="29" t="s">
        <v>46</v>
      </c>
      <c r="B26" s="46">
        <f>B23*B10</f>
        <v>69731.126478782782</v>
      </c>
    </row>
    <row r="27" spans="1:2" x14ac:dyDescent="0.25">
      <c r="A27" s="29" t="s">
        <v>47</v>
      </c>
      <c r="B27" s="46">
        <f>B24*B9</f>
        <v>69731.126478782768</v>
      </c>
    </row>
    <row r="28" spans="1:2" x14ac:dyDescent="0.25">
      <c r="A28" s="29"/>
      <c r="B28" s="46"/>
    </row>
    <row r="29" spans="1:2" x14ac:dyDescent="0.25">
      <c r="A29" s="29" t="s">
        <v>48</v>
      </c>
      <c r="B29" s="46">
        <f>B11*B8</f>
        <v>2593213.2000000002</v>
      </c>
    </row>
    <row r="30" spans="1:2" ht="18.75" thickBot="1" x14ac:dyDescent="0.4">
      <c r="A30" s="32" t="s">
        <v>49</v>
      </c>
      <c r="B30" s="47">
        <f>B26+B27+B29</f>
        <v>2732675.4529575659</v>
      </c>
    </row>
    <row r="32" spans="1:2" x14ac:dyDescent="0.25">
      <c r="A32" s="41"/>
      <c r="B32" s="8"/>
    </row>
    <row r="34" spans="1:5" x14ac:dyDescent="0.25">
      <c r="A34" s="55" t="s">
        <v>50</v>
      </c>
      <c r="B34" s="1" t="s">
        <v>51</v>
      </c>
      <c r="C34" s="12">
        <f>B21/4</f>
        <v>742.1362971347678</v>
      </c>
      <c r="D34" s="1" t="s">
        <v>52</v>
      </c>
      <c r="E34" s="12">
        <f>B21/12</f>
        <v>247.37876571158927</v>
      </c>
    </row>
    <row r="36" spans="1:5" ht="30" x14ac:dyDescent="0.25">
      <c r="B36" s="56" t="s">
        <v>53</v>
      </c>
      <c r="C36" s="56" t="s">
        <v>54</v>
      </c>
      <c r="D36" s="56" t="s">
        <v>55</v>
      </c>
      <c r="E36" s="56" t="s">
        <v>56</v>
      </c>
    </row>
    <row r="37" spans="1:5" x14ac:dyDescent="0.25">
      <c r="B37" s="57">
        <f>C34</f>
        <v>742.1362971347678</v>
      </c>
      <c r="C37" s="57">
        <f>$B$8*$B$9/B37</f>
        <v>278924.50591513107</v>
      </c>
      <c r="D37" s="57">
        <f>$B$10*B37/2</f>
        <v>17432.781619695696</v>
      </c>
      <c r="E37" s="57">
        <f>+C37+D37</f>
        <v>296357.28753482678</v>
      </c>
    </row>
    <row r="38" spans="1:5" x14ac:dyDescent="0.25">
      <c r="B38" s="57">
        <f>B37+$E$34</f>
        <v>989.51506284635707</v>
      </c>
      <c r="C38" s="57">
        <f t="shared" ref="C38:C60" si="0">$B$8*$B$9/B38</f>
        <v>209193.3794363483</v>
      </c>
      <c r="D38" s="57">
        <f t="shared" ref="D38:D60" si="1">$B$10*B38/2</f>
        <v>23243.708826260925</v>
      </c>
      <c r="E38" s="57">
        <f t="shared" ref="E38:E60" si="2">+C38+D38</f>
        <v>232437.08826260924</v>
      </c>
    </row>
    <row r="39" spans="1:5" x14ac:dyDescent="0.25">
      <c r="B39" s="57">
        <f t="shared" ref="B39:B60" si="3">B38+$E$34</f>
        <v>1236.8938285579463</v>
      </c>
      <c r="C39" s="57">
        <f t="shared" si="0"/>
        <v>167354.70354907864</v>
      </c>
      <c r="D39" s="57">
        <f t="shared" si="1"/>
        <v>29054.636032826158</v>
      </c>
      <c r="E39" s="57">
        <f t="shared" si="2"/>
        <v>196409.33958190479</v>
      </c>
    </row>
    <row r="40" spans="1:5" x14ac:dyDescent="0.25">
      <c r="B40" s="57">
        <f t="shared" si="3"/>
        <v>1484.2725942695356</v>
      </c>
      <c r="C40" s="57">
        <f t="shared" si="0"/>
        <v>139462.25295756554</v>
      </c>
      <c r="D40" s="57">
        <f t="shared" si="1"/>
        <v>34865.563239391391</v>
      </c>
      <c r="E40" s="57">
        <f t="shared" si="2"/>
        <v>174327.81619695693</v>
      </c>
    </row>
    <row r="41" spans="1:5" x14ac:dyDescent="0.25">
      <c r="B41" s="57">
        <f t="shared" si="3"/>
        <v>1731.6513599811249</v>
      </c>
      <c r="C41" s="57">
        <f t="shared" si="0"/>
        <v>119539.0739636276</v>
      </c>
      <c r="D41" s="57">
        <f t="shared" si="1"/>
        <v>40676.490445956617</v>
      </c>
      <c r="E41" s="57">
        <f t="shared" si="2"/>
        <v>160215.56440958421</v>
      </c>
    </row>
    <row r="42" spans="1:5" x14ac:dyDescent="0.25">
      <c r="B42" s="57">
        <f t="shared" si="3"/>
        <v>1979.0301256927141</v>
      </c>
      <c r="C42" s="57">
        <f t="shared" si="0"/>
        <v>104596.68971817415</v>
      </c>
      <c r="D42" s="57">
        <f t="shared" si="1"/>
        <v>46487.41765252185</v>
      </c>
      <c r="E42" s="57">
        <f t="shared" si="2"/>
        <v>151084.107370696</v>
      </c>
    </row>
    <row r="43" spans="1:5" x14ac:dyDescent="0.25">
      <c r="B43" s="57">
        <f t="shared" si="3"/>
        <v>2226.4088914043032</v>
      </c>
      <c r="C43" s="57">
        <f t="shared" si="0"/>
        <v>92974.8353050437</v>
      </c>
      <c r="D43" s="57">
        <f t="shared" si="1"/>
        <v>52298.344859087076</v>
      </c>
      <c r="E43" s="57">
        <f t="shared" si="2"/>
        <v>145273.18016413078</v>
      </c>
    </row>
    <row r="44" spans="1:5" x14ac:dyDescent="0.25">
      <c r="B44" s="57">
        <f t="shared" si="3"/>
        <v>2473.7876571158922</v>
      </c>
      <c r="C44" s="57">
        <f t="shared" si="0"/>
        <v>83677.351774539333</v>
      </c>
      <c r="D44" s="57">
        <f t="shared" si="1"/>
        <v>58109.272065652302</v>
      </c>
      <c r="E44" s="57">
        <f t="shared" si="2"/>
        <v>141786.62384019163</v>
      </c>
    </row>
    <row r="45" spans="1:5" x14ac:dyDescent="0.25">
      <c r="B45" s="57">
        <f t="shared" si="3"/>
        <v>2721.1664228274813</v>
      </c>
      <c r="C45" s="57">
        <f t="shared" si="0"/>
        <v>76070.319795035757</v>
      </c>
      <c r="D45" s="57">
        <f t="shared" si="1"/>
        <v>63920.199272217527</v>
      </c>
      <c r="E45" s="57">
        <f t="shared" si="2"/>
        <v>139990.51906725328</v>
      </c>
    </row>
    <row r="46" spans="1:5" x14ac:dyDescent="0.25">
      <c r="B46" s="57">
        <f t="shared" si="3"/>
        <v>2968.5451885390703</v>
      </c>
      <c r="C46" s="57">
        <f t="shared" si="0"/>
        <v>69731.126478782782</v>
      </c>
      <c r="D46" s="57">
        <f t="shared" si="1"/>
        <v>69731.126478782753</v>
      </c>
      <c r="E46" s="57">
        <f t="shared" si="2"/>
        <v>139462.25295756554</v>
      </c>
    </row>
    <row r="47" spans="1:5" x14ac:dyDescent="0.25">
      <c r="B47" s="57">
        <f t="shared" si="3"/>
        <v>3215.9239542506593</v>
      </c>
      <c r="C47" s="57">
        <f t="shared" si="0"/>
        <v>64367.193672722577</v>
      </c>
      <c r="D47" s="57">
        <f t="shared" si="1"/>
        <v>75542.053685347986</v>
      </c>
      <c r="E47" s="57">
        <f t="shared" si="2"/>
        <v>139909.24735807057</v>
      </c>
    </row>
    <row r="48" spans="1:5" x14ac:dyDescent="0.25">
      <c r="B48" s="57">
        <f t="shared" si="3"/>
        <v>3463.3027199622484</v>
      </c>
      <c r="C48" s="57">
        <f t="shared" si="0"/>
        <v>59769.536981813821</v>
      </c>
      <c r="D48" s="57">
        <f t="shared" si="1"/>
        <v>81352.980891913205</v>
      </c>
      <c r="E48" s="57">
        <f t="shared" si="2"/>
        <v>141122.51787372702</v>
      </c>
    </row>
    <row r="49" spans="2:5" x14ac:dyDescent="0.25">
      <c r="B49" s="57">
        <f t="shared" si="3"/>
        <v>3710.6814856738374</v>
      </c>
      <c r="C49" s="57">
        <f t="shared" si="0"/>
        <v>55784.901183026232</v>
      </c>
      <c r="D49" s="57">
        <f t="shared" si="1"/>
        <v>87163.908098478438</v>
      </c>
      <c r="E49" s="57">
        <f t="shared" si="2"/>
        <v>142948.80928150465</v>
      </c>
    </row>
    <row r="50" spans="2:5" x14ac:dyDescent="0.25">
      <c r="B50" s="57">
        <f t="shared" si="3"/>
        <v>3958.0602513854265</v>
      </c>
      <c r="C50" s="57">
        <f t="shared" si="0"/>
        <v>52298.344859087098</v>
      </c>
      <c r="D50" s="57">
        <f t="shared" si="1"/>
        <v>92974.835305043656</v>
      </c>
      <c r="E50" s="57">
        <f t="shared" si="2"/>
        <v>145273.18016413075</v>
      </c>
    </row>
    <row r="51" spans="2:5" x14ac:dyDescent="0.25">
      <c r="B51" s="57">
        <f t="shared" si="3"/>
        <v>4205.4390170970155</v>
      </c>
      <c r="C51" s="57">
        <f t="shared" si="0"/>
        <v>49221.971632081972</v>
      </c>
      <c r="D51" s="57">
        <f t="shared" si="1"/>
        <v>98785.762511608889</v>
      </c>
      <c r="E51" s="57">
        <f t="shared" si="2"/>
        <v>148007.73414369085</v>
      </c>
    </row>
    <row r="52" spans="2:5" x14ac:dyDescent="0.25">
      <c r="B52" s="57">
        <f t="shared" si="3"/>
        <v>4452.8177828086045</v>
      </c>
      <c r="C52" s="57">
        <f t="shared" si="0"/>
        <v>46487.417652521865</v>
      </c>
      <c r="D52" s="57">
        <f t="shared" si="1"/>
        <v>104596.68971817411</v>
      </c>
      <c r="E52" s="57">
        <f t="shared" si="2"/>
        <v>151084.10737069597</v>
      </c>
    </row>
    <row r="53" spans="2:5" x14ac:dyDescent="0.25">
      <c r="B53" s="57">
        <f t="shared" si="3"/>
        <v>4700.1965485201936</v>
      </c>
      <c r="C53" s="57">
        <f t="shared" si="0"/>
        <v>44040.711460283877</v>
      </c>
      <c r="D53" s="57">
        <f t="shared" si="1"/>
        <v>110407.61692473934</v>
      </c>
      <c r="E53" s="57">
        <f t="shared" si="2"/>
        <v>154448.32838502323</v>
      </c>
    </row>
    <row r="54" spans="2:5" x14ac:dyDescent="0.25">
      <c r="B54" s="57">
        <f t="shared" si="3"/>
        <v>4947.5753142317826</v>
      </c>
      <c r="C54" s="57">
        <f t="shared" si="0"/>
        <v>41838.675887269681</v>
      </c>
      <c r="D54" s="57">
        <f t="shared" si="1"/>
        <v>116218.54413130456</v>
      </c>
      <c r="E54" s="57">
        <f t="shared" si="2"/>
        <v>158057.22001857424</v>
      </c>
    </row>
    <row r="55" spans="2:5" x14ac:dyDescent="0.25">
      <c r="B55" s="57">
        <f t="shared" si="3"/>
        <v>5194.9540799433717</v>
      </c>
      <c r="C55" s="57">
        <f t="shared" si="0"/>
        <v>39846.35798787589</v>
      </c>
      <c r="D55" s="57">
        <f t="shared" si="1"/>
        <v>122029.47133786979</v>
      </c>
      <c r="E55" s="57">
        <f t="shared" si="2"/>
        <v>161875.8293257457</v>
      </c>
    </row>
    <row r="56" spans="2:5" x14ac:dyDescent="0.25">
      <c r="B56" s="57">
        <f t="shared" si="3"/>
        <v>5442.3328456549607</v>
      </c>
      <c r="C56" s="57">
        <f t="shared" si="0"/>
        <v>38035.159897517893</v>
      </c>
      <c r="D56" s="57">
        <f t="shared" si="1"/>
        <v>127840.39854443501</v>
      </c>
      <c r="E56" s="57">
        <f t="shared" si="2"/>
        <v>165875.55844195292</v>
      </c>
    </row>
    <row r="57" spans="2:5" x14ac:dyDescent="0.25">
      <c r="B57" s="57">
        <f t="shared" si="3"/>
        <v>5689.7116113665497</v>
      </c>
      <c r="C57" s="57">
        <f t="shared" si="0"/>
        <v>36381.457293277985</v>
      </c>
      <c r="D57" s="57">
        <f t="shared" si="1"/>
        <v>133651.32575100026</v>
      </c>
      <c r="E57" s="57">
        <f t="shared" si="2"/>
        <v>170032.78304427824</v>
      </c>
    </row>
    <row r="58" spans="2:5" x14ac:dyDescent="0.25">
      <c r="B58" s="57">
        <f t="shared" si="3"/>
        <v>5937.0903770781388</v>
      </c>
      <c r="C58" s="57">
        <f t="shared" si="0"/>
        <v>34865.563239391406</v>
      </c>
      <c r="D58" s="57">
        <f t="shared" si="1"/>
        <v>139462.25295756548</v>
      </c>
      <c r="E58" s="57">
        <f t="shared" si="2"/>
        <v>174327.81619695688</v>
      </c>
    </row>
    <row r="59" spans="2:5" x14ac:dyDescent="0.25">
      <c r="B59" s="57">
        <f t="shared" si="3"/>
        <v>6184.4691427897278</v>
      </c>
      <c r="C59" s="57">
        <f t="shared" si="0"/>
        <v>33470.940709815746</v>
      </c>
      <c r="D59" s="57">
        <f t="shared" si="1"/>
        <v>145273.1801641307</v>
      </c>
      <c r="E59" s="57">
        <f t="shared" si="2"/>
        <v>178744.12087394643</v>
      </c>
    </row>
    <row r="60" spans="2:5" x14ac:dyDescent="0.25">
      <c r="B60" s="57">
        <f t="shared" si="3"/>
        <v>6431.8479085013169</v>
      </c>
      <c r="C60" s="57">
        <f t="shared" si="0"/>
        <v>32183.596836361296</v>
      </c>
      <c r="D60" s="57">
        <f t="shared" si="1"/>
        <v>151084.10737069591</v>
      </c>
      <c r="E60" s="57">
        <f t="shared" si="2"/>
        <v>183267.70420705722</v>
      </c>
    </row>
    <row r="61" spans="2:5" x14ac:dyDescent="0.25">
      <c r="B61" s="57"/>
      <c r="C61" s="57"/>
      <c r="D61" s="57"/>
      <c r="E61" s="57"/>
    </row>
    <row r="62" spans="2:5" x14ac:dyDescent="0.25">
      <c r="B62" s="57">
        <f>B21</f>
        <v>2968.5451885390712</v>
      </c>
      <c r="C62" s="57">
        <v>0</v>
      </c>
      <c r="D62" s="57"/>
      <c r="E62" s="57"/>
    </row>
    <row r="63" spans="2:5" x14ac:dyDescent="0.25">
      <c r="B63" s="57">
        <f>B21</f>
        <v>2968.5451885390712</v>
      </c>
      <c r="C63" s="57">
        <f>B26+B27</f>
        <v>139462.25295756554</v>
      </c>
      <c r="D63" s="57"/>
      <c r="E63" s="57"/>
    </row>
  </sheetData>
  <conditionalFormatting sqref="B15">
    <cfRule type="expression" dxfId="1" priority="1">
      <formula>ISNUMBER(B14)</formula>
    </cfRule>
  </conditionalFormatting>
  <conditionalFormatting sqref="E9">
    <cfRule type="expression" dxfId="0" priority="2">
      <formula>ISNUMBER(E8)</formula>
    </cfRule>
  </conditionalFormatting>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8</vt:i4>
      </vt:variant>
    </vt:vector>
  </HeadingPairs>
  <TitlesOfParts>
    <vt:vector size="10" baseType="lpstr">
      <vt:lpstr>PL</vt:lpstr>
      <vt:lpstr>Inventario</vt:lpstr>
      <vt:lpstr>PL!Área_de_impresión</vt:lpstr>
      <vt:lpstr>PL!solver_adj</vt:lpstr>
      <vt:lpstr>PL!solver_lhs1</vt:lpstr>
      <vt:lpstr>PL!solver_lhs2</vt:lpstr>
      <vt:lpstr>PL!solver_lhs3</vt:lpstr>
      <vt:lpstr>PL!solver_opt</vt:lpstr>
      <vt:lpstr>PL!solver_rhs1</vt:lpstr>
      <vt:lpstr>PL!solver_rhs2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DAYAN YULEISY NUNEZ BARBOZA</dc:creator>
  <cp:lastModifiedBy>DAYAN YULEISY NUNEZ BARBOZA</cp:lastModifiedBy>
  <dcterms:created xsi:type="dcterms:W3CDTF">2026-06-12T18:27:02Z</dcterms:created>
  <dcterms:modified xsi:type="dcterms:W3CDTF">2026-06-20T19:27:56Z</dcterms:modified>
</cp:coreProperties>
</file>